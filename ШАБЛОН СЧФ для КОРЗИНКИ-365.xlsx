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"/>
    </mc:Choice>
  </mc:AlternateContent>
  <xr:revisionPtr revIDLastSave="0" documentId="13_ncr:1_{99A00250-690E-4881-B2CD-734E3704780D}" xr6:coauthVersionLast="47" xr6:coauthVersionMax="47" xr10:uidLastSave="{00000000-0000-0000-0000-000000000000}"/>
  <bookViews>
    <workbookView xWindow="-120" yWindow="-120" windowWidth="29040" windowHeight="15840" tabRatio="0" xr2:uid="{ADBF7F77-29EA-41FF-A6C4-62066DD56D35}"/>
  </bookViews>
  <sheets>
    <sheet name="TDSheet" sheetId="1" r:id="rId1"/>
  </sheets>
  <definedNames>
    <definedName name="_xlnm._FilterDatabase" localSheetId="0" hidden="1">TDSheet!$A$1:$U$31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0" i="1" l="1"/>
  <c r="A60" i="1"/>
  <c r="M88" i="1"/>
  <c r="J88" i="1"/>
  <c r="N30" i="1"/>
  <c r="R30" i="1" s="1"/>
  <c r="S30" i="1" s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71" i="1"/>
  <c r="J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70" i="1"/>
  <c r="N29" i="1"/>
  <c r="R29" i="1" s="1"/>
  <c r="N28" i="1"/>
  <c r="R28" i="1" s="1"/>
  <c r="S28" i="1" s="1"/>
  <c r="O62" i="1"/>
  <c r="O63" i="1"/>
  <c r="O64" i="1"/>
  <c r="O65" i="1"/>
  <c r="O66" i="1"/>
  <c r="O61" i="1"/>
  <c r="C62" i="1"/>
  <c r="C63" i="1"/>
  <c r="C64" i="1"/>
  <c r="C65" i="1"/>
  <c r="C66" i="1"/>
  <c r="C61" i="1"/>
  <c r="N27" i="1"/>
  <c r="R27" i="1" s="1"/>
  <c r="N26" i="1"/>
  <c r="R26" i="1" s="1"/>
  <c r="S26" i="1" s="1"/>
  <c r="N25" i="1"/>
  <c r="R25" i="1" s="1"/>
  <c r="S25" i="1" s="1"/>
  <c r="N24" i="1"/>
  <c r="N23" i="1"/>
  <c r="N22" i="1"/>
  <c r="R22" i="1" s="1"/>
  <c r="S22" i="1" s="1"/>
  <c r="N21" i="1"/>
  <c r="R21" i="1" s="1"/>
  <c r="S21" i="1" s="1"/>
  <c r="N20" i="1"/>
  <c r="N19" i="1"/>
  <c r="R19" i="1" s="1"/>
  <c r="N18" i="1"/>
  <c r="R18" i="1" s="1"/>
  <c r="S18" i="1" s="1"/>
  <c r="N17" i="1"/>
  <c r="R17" i="1" s="1"/>
  <c r="S17" i="1" s="1"/>
  <c r="N16" i="1"/>
  <c r="N15" i="1"/>
  <c r="N14" i="1"/>
  <c r="R14" i="1" s="1"/>
  <c r="S14" i="1" s="1"/>
  <c r="N13" i="1"/>
  <c r="R13" i="1" s="1"/>
  <c r="S13" i="1" s="1"/>
  <c r="N12" i="1"/>
  <c r="H59" i="1"/>
  <c r="N88" i="1" l="1"/>
  <c r="R88" i="1"/>
  <c r="S88" i="1" s="1"/>
  <c r="N85" i="1"/>
  <c r="R85" i="1" s="1"/>
  <c r="S85" i="1" s="1"/>
  <c r="N73" i="1"/>
  <c r="R73" i="1" s="1"/>
  <c r="S73" i="1" s="1"/>
  <c r="N75" i="1"/>
  <c r="R75" i="1" s="1"/>
  <c r="S75" i="1" s="1"/>
  <c r="N86" i="1"/>
  <c r="R86" i="1" s="1"/>
  <c r="S86" i="1" s="1"/>
  <c r="N74" i="1"/>
  <c r="N71" i="1"/>
  <c r="R71" i="1" s="1"/>
  <c r="S71" i="1" s="1"/>
  <c r="N76" i="1"/>
  <c r="R76" i="1" s="1"/>
  <c r="S76" i="1" s="1"/>
  <c r="N84" i="1"/>
  <c r="R84" i="1" s="1"/>
  <c r="S84" i="1" s="1"/>
  <c r="N72" i="1"/>
  <c r="R72" i="1" s="1"/>
  <c r="S72" i="1" s="1"/>
  <c r="N70" i="1"/>
  <c r="R70" i="1" s="1"/>
  <c r="S70" i="1" s="1"/>
  <c r="N83" i="1"/>
  <c r="R83" i="1" s="1"/>
  <c r="S83" i="1" s="1"/>
  <c r="N82" i="1"/>
  <c r="R82" i="1" s="1"/>
  <c r="S82" i="1" s="1"/>
  <c r="N79" i="1"/>
  <c r="R79" i="1" s="1"/>
  <c r="S79" i="1" s="1"/>
  <c r="N80" i="1"/>
  <c r="R80" i="1" s="1"/>
  <c r="S80" i="1" s="1"/>
  <c r="N78" i="1"/>
  <c r="R78" i="1" s="1"/>
  <c r="S78" i="1" s="1"/>
  <c r="N81" i="1"/>
  <c r="R81" i="1" s="1"/>
  <c r="S81" i="1" s="1"/>
  <c r="N77" i="1"/>
  <c r="N87" i="1"/>
  <c r="R87" i="1" s="1"/>
  <c r="S87" i="1" s="1"/>
  <c r="R74" i="1"/>
  <c r="S74" i="1" s="1"/>
  <c r="S29" i="1"/>
  <c r="S19" i="1"/>
  <c r="S27" i="1"/>
  <c r="R23" i="1"/>
  <c r="S23" i="1" s="1"/>
  <c r="R15" i="1"/>
  <c r="S15" i="1" s="1"/>
  <c r="R12" i="1"/>
  <c r="S12" i="1" s="1"/>
  <c r="R20" i="1"/>
  <c r="S20" i="1" s="1"/>
  <c r="R16" i="1"/>
  <c r="S16" i="1" s="1"/>
  <c r="R24" i="1"/>
  <c r="S24" i="1" s="1"/>
  <c r="N89" i="1" l="1"/>
  <c r="R77" i="1"/>
  <c r="S77" i="1" s="1"/>
  <c r="S31" i="1"/>
  <c r="R31" i="1"/>
  <c r="N31" i="1"/>
  <c r="R89" i="1" l="1"/>
  <c r="S89" i="1"/>
</calcChain>
</file>

<file path=xl/sharedStrings.xml><?xml version="1.0" encoding="utf-8"?>
<sst xmlns="http://schemas.openxmlformats.org/spreadsheetml/2006/main" count="126" uniqueCount="57">
  <si>
    <t>Поставщик:</t>
  </si>
  <si>
    <t>Покупатель:</t>
  </si>
  <si>
    <t>Адрес:</t>
  </si>
  <si>
    <t>ИНН:</t>
  </si>
  <si>
    <t>Банковский счет:</t>
  </si>
  <si>
    <t>МФО банка:</t>
  </si>
  <si>
    <t>№</t>
  </si>
  <si>
    <t>Ед.</t>
  </si>
  <si>
    <t>Кол-во</t>
  </si>
  <si>
    <t>Цена</t>
  </si>
  <si>
    <t>Стоимость поставки</t>
  </si>
  <si>
    <t>НДС</t>
  </si>
  <si>
    <t>Стоим. поставки с учетом НДС</t>
  </si>
  <si>
    <t>Ставка</t>
  </si>
  <si>
    <t>Сумма</t>
  </si>
  <si>
    <t>пачка</t>
  </si>
  <si>
    <t>Итого:</t>
  </si>
  <si>
    <t>Получил:</t>
  </si>
  <si>
    <t>Товар отпустил:</t>
  </si>
  <si>
    <t>М.П.</t>
  </si>
  <si>
    <t xml:space="preserve">Наименование товаров </t>
  </si>
  <si>
    <t xml:space="preserve"> </t>
  </si>
  <si>
    <t>Туалетная бумага Iz Korzinki Aroma 8шт</t>
  </si>
  <si>
    <t>РКП НДС:</t>
  </si>
  <si>
    <t>305124079.</t>
  </si>
  <si>
    <t>326070033725.</t>
  </si>
  <si>
    <t>20208000900811474001.</t>
  </si>
  <si>
    <t>202099756.</t>
  </si>
  <si>
    <t>326060002860.</t>
  </si>
  <si>
    <t>"ANGELESEY FOOD" MCHJ XK</t>
  </si>
  <si>
    <t>01042,ТОШКЕНТ Ш., "КАПИТАЛБАНК" АТ БАНКИНИНГ СИРГАЛИ ФИЛ</t>
  </si>
  <si>
    <t>Туалетная бумага Iz Korzinki 8шт</t>
  </si>
  <si>
    <t>Туалетная бумага 365 kun 2-слой шт</t>
  </si>
  <si>
    <t>20208000600578902001.</t>
  </si>
  <si>
    <t>00450, ТОШКЕНТ Ш., "ТИФ МИЛЛИЙ БАНКИ" АЖ БОШ ОФИСИ</t>
  </si>
  <si>
    <t>"NILPAK" MCHJ QK</t>
  </si>
  <si>
    <t>Toshkent shaxri, Chilonzor tumani, Turob Tula ko'chasi, 57-uy, "Besh Yog'och" bozori hududida</t>
  </si>
  <si>
    <t>Туалетная бумага Iz Korzinki 6шт</t>
  </si>
  <si>
    <t>Toshkent shahri, Yangihayot tumani, Janubiy Sanoat hududi, 28-uy</t>
  </si>
  <si>
    <t>Joy nomi</t>
  </si>
  <si>
    <t>САЛФЕТКА СТОЛ. 24*24 365 kun 100ШТ</t>
  </si>
  <si>
    <t>ТУАЛЕТНАЯ БУМАГА 365 kun 2СЛ 6ШТ</t>
  </si>
  <si>
    <t>САЛФЕТКИ 365 kun 27Х27 100ШТ</t>
  </si>
  <si>
    <t>Туалет.бумага Из Корзинки трехслой.8шт</t>
  </si>
  <si>
    <t>Салфетки 365 kun для авто короб.70шт</t>
  </si>
  <si>
    <t>ТУАЛЕТНАЯ БУМАГА 365 kun 2СЛ 8ШТ</t>
  </si>
  <si>
    <t>Сал.дисп 365 kun целлюлозные 20х20 180шт</t>
  </si>
  <si>
    <t>Салфетки 365 kun 24*22 50шт</t>
  </si>
  <si>
    <t>САЛФЕТКИ КОРОБ 365 KUN 2СЛ 200ШТ</t>
  </si>
  <si>
    <t>САЛФЕТКИ КОРОБОЧНЫЕ 365 kun 100ШТ</t>
  </si>
  <si>
    <t>ТУАЛЕТНАЯ БУМАГА 365 kun 2СЛ 4ШТ</t>
  </si>
  <si>
    <t>Салфетки 365 kun 27*27 50шт</t>
  </si>
  <si>
    <t xml:space="preserve">      к Договору № 15/365 от «28» ноября 2022г.</t>
  </si>
  <si>
    <t>СЧЕТ-ФАКТУРА №                         от           июня 2026г.</t>
  </si>
  <si>
    <t>БУМАЖ. ПОЛОТЕНЦЕ 365kun BIG SIZE 2СЛ</t>
  </si>
  <si>
    <t>Бумажное Полотенце 365 kun 2сл 2рул</t>
  </si>
  <si>
    <t>номер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</si>
</sst>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₽_-;\-* #,##0\ _₽_-;_-* &quot;-&quot;\ _₽_-;_-@_-"/>
    <numFmt numFmtId="165" formatCode="_-* #,##0.00\ _₽_-;\-* #,##0.00\ _₽_-;_-* &quot;-&quot;??\ _₽_-;_-@_-"/>
    <numFmt numFmtId="166" formatCode="0&quot;%&quot;"/>
  </numFmts>
  <fonts count="16" x14ac:knownFonts="1">
    <font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8"/>
      <color rgb="FFFF0000"/>
      <name val="Arial"/>
      <family val="2"/>
    </font>
    <font>
      <sz val="18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166" fontId="9" fillId="0" borderId="1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/>
    </xf>
    <xf numFmtId="0" fontId="14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" fontId="7" fillId="0" borderId="4" xfId="0" applyNumberFormat="1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14" fillId="0" borderId="0" xfId="0" applyFont="1" applyAlignment="1">
      <alignment horizontal="left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9" fillId="0" borderId="1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EC0EBAB4-9493-49C2-A2CB-1A92CE38E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D51-34FB-446B-B82F-9D8C01428905}">
  <sheetPr>
    <outlinePr summaryBelow="0" summaryRight="0"/>
    <pageSetUpPr autoPageBreaks="0" fitToPage="1"/>
  </sheetPr>
  <dimension ref="A1:V115"/>
  <sheetViews>
    <sheetView tabSelected="1" zoomScale="70" zoomScaleNormal="70" workbookViewId="0">
      <selection activeCell="C7" sqref="C7:L7"/>
    </sheetView>
  </sheetViews>
  <sheetFormatPr defaultColWidth="10.6640625" defaultRowHeight="12.75" x14ac:dyDescent="0.2"/>
  <cols>
    <col min="1" max="1" width="5.83203125" style="3" customWidth="1"/>
    <col min="2" max="2" width="17" style="3" customWidth="1"/>
    <col min="3" max="3" width="8.83203125" style="3" customWidth="1"/>
    <col min="4" max="4" width="4.33203125" style="3" customWidth="1"/>
    <col min="5" max="5" width="5" style="3" customWidth="1"/>
    <col min="6" max="6" width="5.33203125" style="3" customWidth="1"/>
    <col min="7" max="7" width="7.6640625" style="3" customWidth="1"/>
    <col min="8" max="8" width="33.1640625" style="3" customWidth="1"/>
    <col min="9" max="9" width="11.83203125" style="3" customWidth="1"/>
    <col min="10" max="12" width="6.33203125" style="3" customWidth="1"/>
    <col min="13" max="13" width="23.33203125" style="3" customWidth="1"/>
    <col min="14" max="16" width="10.1640625" style="3" customWidth="1"/>
    <col min="17" max="17" width="14" style="3" customWidth="1"/>
    <col min="18" max="18" width="28.5" style="3" bestFit="1" customWidth="1"/>
    <col min="19" max="19" width="10.6640625" style="3" customWidth="1"/>
    <col min="20" max="20" width="1.1640625" style="3" customWidth="1"/>
    <col min="21" max="21" width="20" style="3" customWidth="1"/>
    <col min="22" max="16384" width="10.6640625" style="3"/>
  </cols>
  <sheetData>
    <row r="1" spans="1:22" s="4" customFormat="1" ht="23.25" x14ac:dyDescent="0.35">
      <c r="A1" s="37" t="s">
        <v>39</v>
      </c>
      <c r="B1" s="37"/>
      <c r="C1" s="37"/>
      <c r="D1" s="37"/>
      <c r="E1" s="37"/>
      <c r="F1" s="37"/>
      <c r="G1" s="37"/>
      <c r="H1" s="37" t="s">
        <v>53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2" s="4" customFormat="1" ht="23.25" customHeight="1" x14ac:dyDescent="0.35">
      <c r="A2" s="53" t="s">
        <v>56</v>
      </c>
      <c r="B2" s="53"/>
      <c r="C2" s="53"/>
      <c r="D2" s="53"/>
      <c r="E2" s="53"/>
      <c r="F2" s="53"/>
      <c r="G2" s="53"/>
      <c r="H2" s="53" t="s">
        <v>52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</row>
    <row r="3" spans="1:22" s="5" customFormat="1" ht="15" x14ac:dyDescent="0.2">
      <c r="A3" s="43" t="s">
        <v>0</v>
      </c>
      <c r="B3" s="43"/>
      <c r="C3" s="46" t="s">
        <v>35</v>
      </c>
      <c r="D3" s="46"/>
      <c r="E3" s="46"/>
      <c r="F3" s="46"/>
      <c r="G3" s="46"/>
      <c r="H3" s="46"/>
      <c r="I3" s="46"/>
      <c r="J3" s="46"/>
      <c r="K3" s="46"/>
      <c r="L3" s="46"/>
      <c r="M3" s="43" t="s">
        <v>1</v>
      </c>
      <c r="N3" s="43"/>
      <c r="O3" s="46" t="s">
        <v>29</v>
      </c>
      <c r="P3" s="46"/>
      <c r="Q3" s="46"/>
      <c r="R3" s="46"/>
      <c r="S3" s="46"/>
      <c r="T3" s="46"/>
      <c r="U3" s="46"/>
    </row>
    <row r="4" spans="1:22" s="5" customFormat="1" ht="30" customHeight="1" x14ac:dyDescent="0.2">
      <c r="A4" s="43" t="s">
        <v>2</v>
      </c>
      <c r="B4" s="43"/>
      <c r="C4" s="44" t="s">
        <v>38</v>
      </c>
      <c r="D4" s="44"/>
      <c r="E4" s="44"/>
      <c r="F4" s="44"/>
      <c r="G4" s="44"/>
      <c r="H4" s="44"/>
      <c r="I4" s="44"/>
      <c r="J4" s="44"/>
      <c r="K4" s="44"/>
      <c r="L4" s="44"/>
      <c r="M4" s="43" t="s">
        <v>2</v>
      </c>
      <c r="N4" s="52"/>
      <c r="O4" s="44" t="s">
        <v>36</v>
      </c>
      <c r="P4" s="44"/>
      <c r="Q4" s="44"/>
      <c r="R4" s="44"/>
      <c r="S4" s="44"/>
      <c r="T4" s="44"/>
      <c r="U4" s="44"/>
    </row>
    <row r="5" spans="1:22" s="5" customFormat="1" ht="15" x14ac:dyDescent="0.2">
      <c r="A5" s="43" t="s">
        <v>3</v>
      </c>
      <c r="B5" s="43"/>
      <c r="C5" s="42" t="s">
        <v>24</v>
      </c>
      <c r="D5" s="42"/>
      <c r="E5" s="42"/>
      <c r="F5" s="42"/>
      <c r="G5" s="42"/>
      <c r="H5" s="42"/>
      <c r="I5" s="42"/>
      <c r="J5" s="42"/>
      <c r="K5" s="42"/>
      <c r="L5" s="42"/>
      <c r="M5" s="43" t="s">
        <v>3</v>
      </c>
      <c r="N5" s="52"/>
      <c r="O5" s="42" t="s">
        <v>27</v>
      </c>
      <c r="P5" s="42"/>
      <c r="Q5" s="42"/>
      <c r="R5" s="42"/>
      <c r="S5" s="42"/>
      <c r="T5" s="42"/>
      <c r="U5" s="42"/>
    </row>
    <row r="6" spans="1:22" s="5" customFormat="1" ht="15" x14ac:dyDescent="0.2">
      <c r="A6" s="43" t="s">
        <v>23</v>
      </c>
      <c r="B6" s="43"/>
      <c r="C6" s="42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3" t="s">
        <v>23</v>
      </c>
      <c r="N6" s="43"/>
      <c r="O6" s="42" t="s">
        <v>28</v>
      </c>
      <c r="P6" s="42"/>
      <c r="Q6" s="42"/>
      <c r="R6" s="42"/>
      <c r="S6" s="42"/>
      <c r="T6" s="42"/>
      <c r="U6" s="42"/>
    </row>
    <row r="7" spans="1:22" s="5" customFormat="1" ht="15" x14ac:dyDescent="0.2">
      <c r="A7" s="43" t="s">
        <v>4</v>
      </c>
      <c r="B7" s="43"/>
      <c r="C7" s="44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3" t="s">
        <v>4</v>
      </c>
      <c r="N7" s="43"/>
      <c r="O7" s="44" t="s">
        <v>33</v>
      </c>
      <c r="P7" s="44"/>
      <c r="Q7" s="44"/>
      <c r="R7" s="44"/>
      <c r="S7" s="44"/>
      <c r="T7" s="44"/>
      <c r="U7" s="44"/>
    </row>
    <row r="8" spans="1:22" s="5" customFormat="1" ht="15" x14ac:dyDescent="0.2">
      <c r="A8" s="43" t="s">
        <v>5</v>
      </c>
      <c r="B8" s="43"/>
      <c r="C8" s="44" t="s">
        <v>30</v>
      </c>
      <c r="D8" s="44"/>
      <c r="E8" s="44"/>
      <c r="F8" s="44"/>
      <c r="G8" s="44"/>
      <c r="H8" s="44"/>
      <c r="I8" s="44"/>
      <c r="J8" s="44"/>
      <c r="K8" s="44"/>
      <c r="L8" s="44"/>
      <c r="M8" s="43" t="s">
        <v>5</v>
      </c>
      <c r="N8" s="43"/>
      <c r="O8" s="44" t="s">
        <v>34</v>
      </c>
      <c r="P8" s="44"/>
      <c r="Q8" s="44"/>
      <c r="R8" s="44"/>
      <c r="S8" s="44"/>
      <c r="T8" s="44"/>
      <c r="U8" s="44"/>
    </row>
    <row r="9" spans="1:22" s="26" customFormat="1" x14ac:dyDescent="0.2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  <c r="N9" s="24"/>
      <c r="O9" s="23"/>
      <c r="P9" s="23"/>
      <c r="Q9" s="25"/>
      <c r="R9" s="25" t="s">
        <v>21</v>
      </c>
      <c r="S9" s="23"/>
      <c r="T9" s="23"/>
      <c r="U9" s="23"/>
    </row>
    <row r="10" spans="1:22" s="1" customFormat="1" ht="20.25" customHeight="1" x14ac:dyDescent="0.3">
      <c r="A10" s="50" t="s">
        <v>6</v>
      </c>
      <c r="B10" s="50" t="s">
        <v>20</v>
      </c>
      <c r="C10" s="50"/>
      <c r="D10" s="50"/>
      <c r="E10" s="50"/>
      <c r="F10" s="50"/>
      <c r="G10" s="50"/>
      <c r="H10" s="50"/>
      <c r="I10" s="50" t="s">
        <v>7</v>
      </c>
      <c r="J10" s="50" t="s">
        <v>8</v>
      </c>
      <c r="K10" s="50"/>
      <c r="L10" s="50"/>
      <c r="M10" s="50" t="s">
        <v>9</v>
      </c>
      <c r="N10" s="51" t="s">
        <v>10</v>
      </c>
      <c r="O10" s="51"/>
      <c r="P10" s="51"/>
      <c r="Q10" s="51" t="s">
        <v>11</v>
      </c>
      <c r="R10" s="51"/>
      <c r="S10" s="51" t="s">
        <v>12</v>
      </c>
      <c r="T10" s="51"/>
      <c r="U10" s="51"/>
    </row>
    <row r="11" spans="1:22" s="1" customFormat="1" ht="20.25" customHeight="1" x14ac:dyDescent="0.3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1"/>
      <c r="O11" s="51"/>
      <c r="P11" s="51"/>
      <c r="Q11" s="8" t="s">
        <v>13</v>
      </c>
      <c r="R11" s="6" t="s">
        <v>14</v>
      </c>
      <c r="S11" s="51"/>
      <c r="T11" s="51"/>
      <c r="U11" s="51"/>
    </row>
    <row r="12" spans="1:22" s="1" customFormat="1" ht="24" customHeight="1" x14ac:dyDescent="0.3">
      <c r="A12" s="19">
        <v>1</v>
      </c>
      <c r="B12" s="54" t="s">
        <v>55</v>
      </c>
      <c r="C12" s="54"/>
      <c r="D12" s="54"/>
      <c r="E12" s="54"/>
      <c r="F12" s="54"/>
      <c r="G12" s="54"/>
      <c r="H12" s="54"/>
      <c r="I12" s="16" t="s">
        <v>15</v>
      </c>
      <c r="J12" s="45"/>
      <c r="K12" s="45"/>
      <c r="L12" s="45"/>
      <c r="M12" s="17">
        <v>7200</v>
      </c>
      <c r="N12" s="41">
        <f t="shared" ref="N12:N27" si="0">M12*J12</f>
        <v>0</v>
      </c>
      <c r="O12" s="41"/>
      <c r="P12" s="41"/>
      <c r="Q12" s="12">
        <v>12</v>
      </c>
      <c r="R12" s="10">
        <f t="shared" ref="R12:R27" si="1">N12*12/100</f>
        <v>0</v>
      </c>
      <c r="S12" s="41">
        <f t="shared" ref="S12:S27" si="2">N12+R12</f>
        <v>0</v>
      </c>
      <c r="T12" s="41"/>
      <c r="U12" s="41"/>
    </row>
    <row r="13" spans="1:22" s="1" customFormat="1" ht="24" customHeight="1" x14ac:dyDescent="0.3">
      <c r="A13" s="19">
        <v>2</v>
      </c>
      <c r="B13" s="55" t="s">
        <v>40</v>
      </c>
      <c r="C13" s="56"/>
      <c r="D13" s="56"/>
      <c r="E13" s="56"/>
      <c r="F13" s="56"/>
      <c r="G13" s="56"/>
      <c r="H13" s="57"/>
      <c r="I13" s="16" t="s">
        <v>15</v>
      </c>
      <c r="J13" s="45"/>
      <c r="K13" s="45"/>
      <c r="L13" s="45"/>
      <c r="M13" s="18">
        <v>2975.9</v>
      </c>
      <c r="N13" s="41">
        <f t="shared" si="0"/>
        <v>0</v>
      </c>
      <c r="O13" s="41"/>
      <c r="P13" s="41"/>
      <c r="Q13" s="12">
        <v>12</v>
      </c>
      <c r="R13" s="10">
        <f t="shared" si="1"/>
        <v>0</v>
      </c>
      <c r="S13" s="41">
        <f t="shared" si="2"/>
        <v>0</v>
      </c>
      <c r="T13" s="41"/>
      <c r="U13" s="41"/>
    </row>
    <row r="14" spans="1:22" s="1" customFormat="1" ht="24" customHeight="1" x14ac:dyDescent="0.3">
      <c r="A14" s="19">
        <v>3</v>
      </c>
      <c r="B14" s="48" t="s">
        <v>32</v>
      </c>
      <c r="C14" s="48"/>
      <c r="D14" s="48"/>
      <c r="E14" s="48"/>
      <c r="F14" s="48"/>
      <c r="G14" s="48"/>
      <c r="H14" s="48"/>
      <c r="I14" s="16" t="s">
        <v>15</v>
      </c>
      <c r="J14" s="45"/>
      <c r="K14" s="45"/>
      <c r="L14" s="45"/>
      <c r="M14" s="18">
        <v>1815.6</v>
      </c>
      <c r="N14" s="41">
        <f t="shared" si="0"/>
        <v>0</v>
      </c>
      <c r="O14" s="41"/>
      <c r="P14" s="41"/>
      <c r="Q14" s="12">
        <v>12</v>
      </c>
      <c r="R14" s="10">
        <f t="shared" si="1"/>
        <v>0</v>
      </c>
      <c r="S14" s="41">
        <f t="shared" si="2"/>
        <v>0</v>
      </c>
      <c r="T14" s="41"/>
      <c r="U14" s="41"/>
    </row>
    <row r="15" spans="1:22" s="1" customFormat="1" ht="24" customHeight="1" x14ac:dyDescent="0.3">
      <c r="A15" s="19">
        <v>4</v>
      </c>
      <c r="B15" s="48" t="s">
        <v>54</v>
      </c>
      <c r="C15" s="48"/>
      <c r="D15" s="48"/>
      <c r="E15" s="48"/>
      <c r="F15" s="48"/>
      <c r="G15" s="48"/>
      <c r="H15" s="48"/>
      <c r="I15" s="16" t="s">
        <v>15</v>
      </c>
      <c r="J15" s="45"/>
      <c r="K15" s="45"/>
      <c r="L15" s="45"/>
      <c r="M15" s="18">
        <v>10430</v>
      </c>
      <c r="N15" s="41">
        <f t="shared" si="0"/>
        <v>0</v>
      </c>
      <c r="O15" s="41"/>
      <c r="P15" s="41"/>
      <c r="Q15" s="12">
        <v>12</v>
      </c>
      <c r="R15" s="10">
        <f t="shared" si="1"/>
        <v>0</v>
      </c>
      <c r="S15" s="41">
        <f t="shared" si="2"/>
        <v>0</v>
      </c>
      <c r="T15" s="41"/>
      <c r="U15" s="41"/>
      <c r="V15" s="2"/>
    </row>
    <row r="16" spans="1:22" s="1" customFormat="1" ht="24" customHeight="1" x14ac:dyDescent="0.3">
      <c r="A16" s="19">
        <v>5</v>
      </c>
      <c r="B16" s="48" t="s">
        <v>44</v>
      </c>
      <c r="C16" s="48"/>
      <c r="D16" s="48"/>
      <c r="E16" s="48"/>
      <c r="F16" s="48"/>
      <c r="G16" s="48"/>
      <c r="H16" s="48"/>
      <c r="I16" s="16" t="s">
        <v>15</v>
      </c>
      <c r="J16" s="45"/>
      <c r="K16" s="45"/>
      <c r="L16" s="45"/>
      <c r="M16" s="18">
        <v>4062.5</v>
      </c>
      <c r="N16" s="41">
        <f t="shared" si="0"/>
        <v>0</v>
      </c>
      <c r="O16" s="41"/>
      <c r="P16" s="41"/>
      <c r="Q16" s="12">
        <v>12</v>
      </c>
      <c r="R16" s="10">
        <f t="shared" si="1"/>
        <v>0</v>
      </c>
      <c r="S16" s="41">
        <f t="shared" si="2"/>
        <v>0</v>
      </c>
      <c r="T16" s="41"/>
      <c r="U16" s="41"/>
    </row>
    <row r="17" spans="1:21" s="1" customFormat="1" ht="24" customHeight="1" x14ac:dyDescent="0.3">
      <c r="A17" s="19">
        <v>6</v>
      </c>
      <c r="B17" s="48" t="s">
        <v>49</v>
      </c>
      <c r="C17" s="48"/>
      <c r="D17" s="48"/>
      <c r="E17" s="48"/>
      <c r="F17" s="48"/>
      <c r="G17" s="48"/>
      <c r="H17" s="48"/>
      <c r="I17" s="16" t="s">
        <v>15</v>
      </c>
      <c r="J17" s="45"/>
      <c r="K17" s="45"/>
      <c r="L17" s="45"/>
      <c r="M17" s="18">
        <v>6205.35</v>
      </c>
      <c r="N17" s="41">
        <f t="shared" si="0"/>
        <v>0</v>
      </c>
      <c r="O17" s="41"/>
      <c r="P17" s="41"/>
      <c r="Q17" s="12">
        <v>12</v>
      </c>
      <c r="R17" s="10">
        <f t="shared" si="1"/>
        <v>0</v>
      </c>
      <c r="S17" s="41">
        <f t="shared" si="2"/>
        <v>0</v>
      </c>
      <c r="T17" s="41"/>
      <c r="U17" s="41"/>
    </row>
    <row r="18" spans="1:21" s="1" customFormat="1" ht="24" customHeight="1" x14ac:dyDescent="0.3">
      <c r="A18" s="19">
        <v>7</v>
      </c>
      <c r="B18" s="48" t="s">
        <v>48</v>
      </c>
      <c r="C18" s="48"/>
      <c r="D18" s="48"/>
      <c r="E18" s="48"/>
      <c r="F18" s="48"/>
      <c r="G18" s="48"/>
      <c r="H18" s="48"/>
      <c r="I18" s="16" t="s">
        <v>15</v>
      </c>
      <c r="J18" s="45"/>
      <c r="K18" s="45"/>
      <c r="L18" s="45"/>
      <c r="M18" s="18">
        <v>8571.42</v>
      </c>
      <c r="N18" s="41">
        <f t="shared" si="0"/>
        <v>0</v>
      </c>
      <c r="O18" s="41"/>
      <c r="P18" s="41"/>
      <c r="Q18" s="12">
        <v>12</v>
      </c>
      <c r="R18" s="10">
        <f t="shared" si="1"/>
        <v>0</v>
      </c>
      <c r="S18" s="41">
        <f t="shared" si="2"/>
        <v>0</v>
      </c>
      <c r="T18" s="41"/>
      <c r="U18" s="41"/>
    </row>
    <row r="19" spans="1:21" s="1" customFormat="1" ht="24" customHeight="1" x14ac:dyDescent="0.3">
      <c r="A19" s="19">
        <v>8</v>
      </c>
      <c r="B19" s="48" t="s">
        <v>45</v>
      </c>
      <c r="C19" s="48"/>
      <c r="D19" s="48"/>
      <c r="E19" s="48"/>
      <c r="F19" s="48"/>
      <c r="G19" s="48"/>
      <c r="H19" s="48"/>
      <c r="I19" s="16" t="s">
        <v>15</v>
      </c>
      <c r="J19" s="45"/>
      <c r="K19" s="45"/>
      <c r="L19" s="45"/>
      <c r="M19" s="18">
        <v>16950</v>
      </c>
      <c r="N19" s="41">
        <f t="shared" si="0"/>
        <v>0</v>
      </c>
      <c r="O19" s="41"/>
      <c r="P19" s="41"/>
      <c r="Q19" s="12">
        <v>12</v>
      </c>
      <c r="R19" s="10">
        <f t="shared" si="1"/>
        <v>0</v>
      </c>
      <c r="S19" s="41">
        <f t="shared" si="2"/>
        <v>0</v>
      </c>
      <c r="T19" s="41"/>
      <c r="U19" s="41"/>
    </row>
    <row r="20" spans="1:21" s="1" customFormat="1" ht="24" customHeight="1" x14ac:dyDescent="0.3">
      <c r="A20" s="19">
        <v>9</v>
      </c>
      <c r="B20" s="48" t="s">
        <v>50</v>
      </c>
      <c r="C20" s="48"/>
      <c r="D20" s="48"/>
      <c r="E20" s="48"/>
      <c r="F20" s="48"/>
      <c r="G20" s="48"/>
      <c r="H20" s="48"/>
      <c r="I20" s="16" t="s">
        <v>15</v>
      </c>
      <c r="J20" s="45"/>
      <c r="K20" s="45"/>
      <c r="L20" s="45"/>
      <c r="M20" s="18">
        <v>10000</v>
      </c>
      <c r="N20" s="41">
        <f t="shared" si="0"/>
        <v>0</v>
      </c>
      <c r="O20" s="41"/>
      <c r="P20" s="41"/>
      <c r="Q20" s="12">
        <v>12</v>
      </c>
      <c r="R20" s="10">
        <f t="shared" si="1"/>
        <v>0</v>
      </c>
      <c r="S20" s="41">
        <f t="shared" si="2"/>
        <v>0</v>
      </c>
      <c r="T20" s="41"/>
      <c r="U20" s="41"/>
    </row>
    <row r="21" spans="1:21" s="1" customFormat="1" ht="24" customHeight="1" x14ac:dyDescent="0.3">
      <c r="A21" s="19">
        <v>10</v>
      </c>
      <c r="B21" s="48" t="s">
        <v>41</v>
      </c>
      <c r="C21" s="48"/>
      <c r="D21" s="48"/>
      <c r="E21" s="48"/>
      <c r="F21" s="48"/>
      <c r="G21" s="48"/>
      <c r="H21" s="48"/>
      <c r="I21" s="16" t="s">
        <v>15</v>
      </c>
      <c r="J21" s="45"/>
      <c r="K21" s="45"/>
      <c r="L21" s="45"/>
      <c r="M21" s="18">
        <v>12053.57</v>
      </c>
      <c r="N21" s="41">
        <f t="shared" si="0"/>
        <v>0</v>
      </c>
      <c r="O21" s="41"/>
      <c r="P21" s="41"/>
      <c r="Q21" s="12">
        <v>12</v>
      </c>
      <c r="R21" s="10">
        <f t="shared" si="1"/>
        <v>0</v>
      </c>
      <c r="S21" s="41">
        <f t="shared" si="2"/>
        <v>0</v>
      </c>
      <c r="T21" s="41"/>
      <c r="U21" s="41"/>
    </row>
    <row r="22" spans="1:21" s="1" customFormat="1" ht="24" customHeight="1" x14ac:dyDescent="0.3">
      <c r="A22" s="19">
        <v>11</v>
      </c>
      <c r="B22" s="55" t="s">
        <v>42</v>
      </c>
      <c r="C22" s="56"/>
      <c r="D22" s="56"/>
      <c r="E22" s="56"/>
      <c r="F22" s="56"/>
      <c r="G22" s="56"/>
      <c r="H22" s="57"/>
      <c r="I22" s="16" t="s">
        <v>15</v>
      </c>
      <c r="J22" s="45"/>
      <c r="K22" s="45"/>
      <c r="L22" s="45"/>
      <c r="M22" s="18">
        <v>3426.07</v>
      </c>
      <c r="N22" s="41">
        <f t="shared" si="0"/>
        <v>0</v>
      </c>
      <c r="O22" s="41"/>
      <c r="P22" s="41"/>
      <c r="Q22" s="12">
        <v>12</v>
      </c>
      <c r="R22" s="10">
        <f t="shared" si="1"/>
        <v>0</v>
      </c>
      <c r="S22" s="41">
        <f t="shared" si="2"/>
        <v>0</v>
      </c>
      <c r="T22" s="41"/>
      <c r="U22" s="41"/>
    </row>
    <row r="23" spans="1:21" s="1" customFormat="1" ht="24" customHeight="1" x14ac:dyDescent="0.3">
      <c r="A23" s="19">
        <v>12</v>
      </c>
      <c r="B23" s="55" t="s">
        <v>47</v>
      </c>
      <c r="C23" s="56"/>
      <c r="D23" s="56"/>
      <c r="E23" s="56"/>
      <c r="F23" s="56"/>
      <c r="G23" s="56"/>
      <c r="H23" s="57"/>
      <c r="I23" s="16" t="s">
        <v>15</v>
      </c>
      <c r="J23" s="45"/>
      <c r="K23" s="45"/>
      <c r="L23" s="45"/>
      <c r="M23" s="18">
        <v>1245.54</v>
      </c>
      <c r="N23" s="41">
        <f t="shared" si="0"/>
        <v>0</v>
      </c>
      <c r="O23" s="41"/>
      <c r="P23" s="41"/>
      <c r="Q23" s="12">
        <v>12</v>
      </c>
      <c r="R23" s="10">
        <f t="shared" si="1"/>
        <v>0</v>
      </c>
      <c r="S23" s="41">
        <f t="shared" si="2"/>
        <v>0</v>
      </c>
      <c r="T23" s="41"/>
      <c r="U23" s="41"/>
    </row>
    <row r="24" spans="1:21" s="1" customFormat="1" ht="24" customHeight="1" x14ac:dyDescent="0.3">
      <c r="A24" s="19">
        <v>13</v>
      </c>
      <c r="B24" s="55" t="s">
        <v>51</v>
      </c>
      <c r="C24" s="56"/>
      <c r="D24" s="56"/>
      <c r="E24" s="56"/>
      <c r="F24" s="56"/>
      <c r="G24" s="56"/>
      <c r="H24" s="57"/>
      <c r="I24" s="16" t="s">
        <v>15</v>
      </c>
      <c r="J24" s="45"/>
      <c r="K24" s="45"/>
      <c r="L24" s="45"/>
      <c r="M24" s="18">
        <v>1892.86</v>
      </c>
      <c r="N24" s="41">
        <f t="shared" si="0"/>
        <v>0</v>
      </c>
      <c r="O24" s="41"/>
      <c r="P24" s="41"/>
      <c r="Q24" s="12">
        <v>12</v>
      </c>
      <c r="R24" s="10">
        <f t="shared" si="1"/>
        <v>0</v>
      </c>
      <c r="S24" s="41">
        <f t="shared" si="2"/>
        <v>0</v>
      </c>
      <c r="T24" s="41"/>
      <c r="U24" s="41"/>
    </row>
    <row r="25" spans="1:21" s="1" customFormat="1" ht="24" customHeight="1" x14ac:dyDescent="0.3">
      <c r="A25" s="19">
        <v>14</v>
      </c>
      <c r="B25" s="55" t="s">
        <v>31</v>
      </c>
      <c r="C25" s="56"/>
      <c r="D25" s="56"/>
      <c r="E25" s="56"/>
      <c r="F25" s="56"/>
      <c r="G25" s="56"/>
      <c r="H25" s="57"/>
      <c r="I25" s="16" t="s">
        <v>15</v>
      </c>
      <c r="J25" s="45"/>
      <c r="K25" s="45"/>
      <c r="L25" s="45"/>
      <c r="M25" s="18">
        <v>20535.71</v>
      </c>
      <c r="N25" s="41">
        <f t="shared" si="0"/>
        <v>0</v>
      </c>
      <c r="O25" s="41"/>
      <c r="P25" s="41"/>
      <c r="Q25" s="12">
        <v>12</v>
      </c>
      <c r="R25" s="10">
        <f t="shared" si="1"/>
        <v>0</v>
      </c>
      <c r="S25" s="41">
        <f t="shared" si="2"/>
        <v>0</v>
      </c>
      <c r="T25" s="41"/>
      <c r="U25" s="41"/>
    </row>
    <row r="26" spans="1:21" s="1" customFormat="1" ht="24" customHeight="1" x14ac:dyDescent="0.3">
      <c r="A26" s="19">
        <v>15</v>
      </c>
      <c r="B26" s="55" t="s">
        <v>22</v>
      </c>
      <c r="C26" s="56"/>
      <c r="D26" s="56"/>
      <c r="E26" s="56"/>
      <c r="F26" s="56"/>
      <c r="G26" s="56"/>
      <c r="H26" s="57"/>
      <c r="I26" s="16" t="s">
        <v>15</v>
      </c>
      <c r="J26" s="45"/>
      <c r="K26" s="45"/>
      <c r="L26" s="45"/>
      <c r="M26" s="18">
        <v>22321.4</v>
      </c>
      <c r="N26" s="41">
        <f t="shared" si="0"/>
        <v>0</v>
      </c>
      <c r="O26" s="41"/>
      <c r="P26" s="41"/>
      <c r="Q26" s="12">
        <v>12</v>
      </c>
      <c r="R26" s="10">
        <f t="shared" si="1"/>
        <v>0</v>
      </c>
      <c r="S26" s="41">
        <f t="shared" si="2"/>
        <v>0</v>
      </c>
      <c r="T26" s="41"/>
      <c r="U26" s="41"/>
    </row>
    <row r="27" spans="1:21" s="1" customFormat="1" ht="24" customHeight="1" x14ac:dyDescent="0.3">
      <c r="A27" s="19">
        <v>16</v>
      </c>
      <c r="B27" s="55" t="s">
        <v>43</v>
      </c>
      <c r="C27" s="56"/>
      <c r="D27" s="56"/>
      <c r="E27" s="56"/>
      <c r="F27" s="56"/>
      <c r="G27" s="56"/>
      <c r="H27" s="57"/>
      <c r="I27" s="16" t="s">
        <v>15</v>
      </c>
      <c r="J27" s="45"/>
      <c r="K27" s="45"/>
      <c r="L27" s="45"/>
      <c r="M27" s="18">
        <v>22321.43</v>
      </c>
      <c r="N27" s="41">
        <f t="shared" si="0"/>
        <v>0</v>
      </c>
      <c r="O27" s="41"/>
      <c r="P27" s="41"/>
      <c r="Q27" s="12">
        <v>12</v>
      </c>
      <c r="R27" s="10">
        <f t="shared" si="1"/>
        <v>0</v>
      </c>
      <c r="S27" s="41">
        <f t="shared" si="2"/>
        <v>0</v>
      </c>
      <c r="T27" s="41"/>
      <c r="U27" s="41"/>
    </row>
    <row r="28" spans="1:21" s="1" customFormat="1" ht="24" customHeight="1" x14ac:dyDescent="0.3">
      <c r="A28" s="19">
        <v>17</v>
      </c>
      <c r="B28" s="55" t="s">
        <v>37</v>
      </c>
      <c r="C28" s="56"/>
      <c r="D28" s="56"/>
      <c r="E28" s="56"/>
      <c r="F28" s="56"/>
      <c r="G28" s="56"/>
      <c r="H28" s="57"/>
      <c r="I28" s="16" t="s">
        <v>15</v>
      </c>
      <c r="J28" s="45"/>
      <c r="K28" s="45"/>
      <c r="L28" s="45"/>
      <c r="M28" s="18">
        <v>14285.7</v>
      </c>
      <c r="N28" s="41">
        <f t="shared" ref="N28" si="3">M28*J28</f>
        <v>0</v>
      </c>
      <c r="O28" s="41"/>
      <c r="P28" s="41"/>
      <c r="Q28" s="12">
        <v>12</v>
      </c>
      <c r="R28" s="10">
        <f t="shared" ref="R28" si="4">N28*12/100</f>
        <v>0</v>
      </c>
      <c r="S28" s="41">
        <f t="shared" ref="S28" si="5">N28+R28</f>
        <v>0</v>
      </c>
      <c r="T28" s="41"/>
      <c r="U28" s="41"/>
    </row>
    <row r="29" spans="1:21" s="1" customFormat="1" ht="21" customHeight="1" x14ac:dyDescent="0.3">
      <c r="A29" s="19">
        <v>18</v>
      </c>
      <c r="B29" s="55" t="s">
        <v>46</v>
      </c>
      <c r="C29" s="56"/>
      <c r="D29" s="56"/>
      <c r="E29" s="56"/>
      <c r="F29" s="56"/>
      <c r="G29" s="56"/>
      <c r="H29" s="57"/>
      <c r="I29" s="16" t="s">
        <v>15</v>
      </c>
      <c r="J29" s="45"/>
      <c r="K29" s="45"/>
      <c r="L29" s="45"/>
      <c r="M29" s="18">
        <v>7544.64</v>
      </c>
      <c r="N29" s="41">
        <f>M29*J29</f>
        <v>0</v>
      </c>
      <c r="O29" s="41"/>
      <c r="P29" s="41"/>
      <c r="Q29" s="12">
        <v>12</v>
      </c>
      <c r="R29" s="10">
        <f>N29*12/100</f>
        <v>0</v>
      </c>
      <c r="S29" s="41">
        <f>N29+R29</f>
        <v>0</v>
      </c>
      <c r="T29" s="41"/>
      <c r="U29" s="41"/>
    </row>
    <row r="30" spans="1:21" s="1" customFormat="1" ht="21" customHeight="1" x14ac:dyDescent="0.3">
      <c r="A30" s="19">
        <v>19</v>
      </c>
      <c r="B30" s="55"/>
      <c r="C30" s="56"/>
      <c r="D30" s="56"/>
      <c r="E30" s="56"/>
      <c r="F30" s="56"/>
      <c r="G30" s="56"/>
      <c r="H30" s="57"/>
      <c r="I30" s="35" t="s">
        <v>15</v>
      </c>
      <c r="J30" s="45"/>
      <c r="K30" s="45"/>
      <c r="L30" s="45"/>
      <c r="M30" s="18"/>
      <c r="N30" s="41">
        <f>M30*J30</f>
        <v>0</v>
      </c>
      <c r="O30" s="41"/>
      <c r="P30" s="41"/>
      <c r="Q30" s="12">
        <v>12</v>
      </c>
      <c r="R30" s="34">
        <f>N30*12/100</f>
        <v>0</v>
      </c>
      <c r="S30" s="41">
        <f>N30+R30</f>
        <v>0</v>
      </c>
      <c r="T30" s="41"/>
      <c r="U30" s="41"/>
    </row>
    <row r="31" spans="1:21" s="1" customFormat="1" ht="24" customHeight="1" x14ac:dyDescent="0.3">
      <c r="A31" s="49" t="s">
        <v>16</v>
      </c>
      <c r="B31" s="49"/>
      <c r="C31" s="49"/>
      <c r="D31" s="49"/>
      <c r="E31" s="49"/>
      <c r="F31" s="49"/>
      <c r="G31" s="49"/>
      <c r="H31" s="49"/>
      <c r="I31" s="20"/>
      <c r="J31" s="45"/>
      <c r="K31" s="45"/>
      <c r="L31" s="45"/>
      <c r="M31" s="18"/>
      <c r="N31" s="41">
        <f>SUM(N12:P29)</f>
        <v>0</v>
      </c>
      <c r="O31" s="41"/>
      <c r="P31" s="41"/>
      <c r="Q31" s="15"/>
      <c r="R31" s="10">
        <f>SUM(R12:R29)</f>
        <v>0</v>
      </c>
      <c r="S31" s="41">
        <f>SUM(S12:U29)</f>
        <v>0</v>
      </c>
      <c r="T31" s="41"/>
      <c r="U31" s="41"/>
    </row>
    <row r="32" spans="1:21" s="26" customFormat="1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1:21" s="26" customFormat="1" x14ac:dyDescent="0.2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1:21" s="29" customFormat="1" x14ac:dyDescent="0.2"/>
    <row r="35" spans="1:21" s="32" customFormat="1" ht="15.75" x14ac:dyDescent="0.2">
      <c r="A35" s="30" t="s">
        <v>18</v>
      </c>
      <c r="B35" s="30"/>
      <c r="C35" s="30"/>
      <c r="D35" s="31"/>
      <c r="E35" s="31"/>
      <c r="F35" s="31"/>
      <c r="G35" s="31"/>
      <c r="H35" s="31"/>
      <c r="I35" s="30"/>
      <c r="J35" s="30"/>
      <c r="K35" s="30"/>
      <c r="L35" s="30"/>
      <c r="M35" s="30"/>
      <c r="N35" s="30"/>
      <c r="O35" s="30"/>
      <c r="P35" s="30" t="s">
        <v>17</v>
      </c>
      <c r="Q35" s="30"/>
      <c r="R35" s="31"/>
      <c r="S35" s="31"/>
      <c r="T35" s="31"/>
      <c r="U35" s="31"/>
    </row>
    <row r="36" spans="1:21" s="28" customFormat="1" x14ac:dyDescent="0.2"/>
    <row r="37" spans="1:21" s="32" customFormat="1" ht="15.75" x14ac:dyDescent="0.2">
      <c r="B37" s="30" t="s">
        <v>19</v>
      </c>
    </row>
    <row r="38" spans="1:21" s="28" customFormat="1" x14ac:dyDescent="0.2"/>
    <row r="39" spans="1:21" s="28" customFormat="1" x14ac:dyDescent="0.2"/>
    <row r="40" spans="1:21" s="28" customFormat="1" x14ac:dyDescent="0.2"/>
    <row r="41" spans="1:21" s="28" customFormat="1" x14ac:dyDescent="0.2"/>
    <row r="42" spans="1:21" s="28" customFormat="1" x14ac:dyDescent="0.2"/>
    <row r="43" spans="1:21" s="28" customFormat="1" x14ac:dyDescent="0.2"/>
    <row r="44" spans="1:21" s="28" customFormat="1" x14ac:dyDescent="0.2"/>
    <row r="45" spans="1:21" s="28" customFormat="1" x14ac:dyDescent="0.2"/>
    <row r="46" spans="1:21" s="28" customFormat="1" x14ac:dyDescent="0.2"/>
    <row r="47" spans="1:21" s="28" customFormat="1" x14ac:dyDescent="0.2"/>
    <row r="48" spans="1:21" s="28" customFormat="1" x14ac:dyDescent="0.2"/>
    <row r="49" spans="1:21" s="28" customFormat="1" x14ac:dyDescent="0.2"/>
    <row r="50" spans="1:21" s="28" customFormat="1" x14ac:dyDescent="0.2"/>
    <row r="51" spans="1:21" s="28" customFormat="1" x14ac:dyDescent="0.2"/>
    <row r="52" spans="1:21" s="28" customFormat="1" x14ac:dyDescent="0.2"/>
    <row r="53" spans="1:21" s="28" customFormat="1" x14ac:dyDescent="0.2"/>
    <row r="54" spans="1:21" s="28" customFormat="1" x14ac:dyDescent="0.2"/>
    <row r="55" spans="1:21" s="28" customFormat="1" x14ac:dyDescent="0.2"/>
    <row r="56" spans="1:21" s="28" customFormat="1" x14ac:dyDescent="0.2"/>
    <row r="57" spans="1:21" s="28" customFormat="1" x14ac:dyDescent="0.2"/>
    <row r="58" spans="1:21" s="28" customFormat="1" x14ac:dyDescent="0.2"/>
    <row r="59" spans="1:21" s="21" customFormat="1" ht="23.25" x14ac:dyDescent="0.2">
      <c r="A59" s="38"/>
      <c r="B59" s="38"/>
      <c r="C59" s="38"/>
      <c r="D59" s="38"/>
      <c r="E59" s="38"/>
      <c r="F59" s="38"/>
      <c r="G59" s="38"/>
      <c r="H59" s="38" t="str">
        <f>H1</f>
        <v>СЧЕТ-ФАКТУРА №                         от           июня 2026г.</v>
      </c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</row>
    <row r="60" spans="1:21" s="4" customFormat="1" ht="23.25" x14ac:dyDescent="0.35">
      <c r="A60" s="36" t="str">
        <f>A2</f>
        <v>номер заказ</v>
      </c>
      <c r="B60" s="36"/>
      <c r="C60" s="36"/>
      <c r="D60" s="36"/>
      <c r="E60" s="36"/>
      <c r="F60" s="36"/>
      <c r="G60" s="36"/>
      <c r="H60" s="36" t="str">
        <f>H2</f>
        <v xml:space="preserve">      к Договору № 15/365 от «28» ноября 2022г.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spans="1:21" s="5" customFormat="1" ht="15" x14ac:dyDescent="0.2">
      <c r="A61" s="43" t="s">
        <v>0</v>
      </c>
      <c r="B61" s="43"/>
      <c r="C61" s="46" t="str">
        <f t="shared" ref="C61:C66" si="6">C3</f>
        <v>"NILPAK" MCHJ QK</v>
      </c>
      <c r="D61" s="46"/>
      <c r="E61" s="46"/>
      <c r="F61" s="46"/>
      <c r="G61" s="46"/>
      <c r="H61" s="46"/>
      <c r="I61" s="46"/>
      <c r="J61" s="46"/>
      <c r="K61" s="46"/>
      <c r="L61" s="46"/>
      <c r="M61" s="43" t="s">
        <v>1</v>
      </c>
      <c r="N61" s="43"/>
      <c r="O61" s="46" t="str">
        <f t="shared" ref="O61:O66" si="7">O3</f>
        <v>"ANGELESEY FOOD" MCHJ XK</v>
      </c>
      <c r="P61" s="46"/>
      <c r="Q61" s="46"/>
      <c r="R61" s="46"/>
      <c r="S61" s="46"/>
      <c r="T61" s="46"/>
      <c r="U61" s="46"/>
    </row>
    <row r="62" spans="1:21" s="5" customFormat="1" ht="30" customHeight="1" x14ac:dyDescent="0.2">
      <c r="A62" s="43" t="s">
        <v>2</v>
      </c>
      <c r="B62" s="43"/>
      <c r="C62" s="46" t="str">
        <f t="shared" si="6"/>
        <v>Toshkent shahri, Yangihayot tumani, Janubiy Sanoat hududi, 28-uy</v>
      </c>
      <c r="D62" s="46"/>
      <c r="E62" s="46"/>
      <c r="F62" s="46"/>
      <c r="G62" s="46"/>
      <c r="H62" s="46"/>
      <c r="I62" s="46"/>
      <c r="J62" s="46"/>
      <c r="K62" s="46"/>
      <c r="L62" s="46"/>
      <c r="M62" s="43" t="s">
        <v>2</v>
      </c>
      <c r="N62" s="52"/>
      <c r="O62" s="46" t="str">
        <f t="shared" si="7"/>
        <v>Toshkent shaxri, Chilonzor tumani, Turob Tula ko'chasi, 57-uy, "Besh Yog'och" bozori hududida</v>
      </c>
      <c r="P62" s="46"/>
      <c r="Q62" s="46"/>
      <c r="R62" s="46"/>
      <c r="S62" s="46"/>
      <c r="T62" s="46"/>
      <c r="U62" s="46"/>
    </row>
    <row r="63" spans="1:21" s="5" customFormat="1" ht="15" customHeight="1" x14ac:dyDescent="0.2">
      <c r="A63" s="43" t="s">
        <v>3</v>
      </c>
      <c r="B63" s="43"/>
      <c r="C63" s="46" t="str">
        <f t="shared" si="6"/>
        <v>305124079.</v>
      </c>
      <c r="D63" s="46"/>
      <c r="E63" s="46"/>
      <c r="F63" s="46"/>
      <c r="G63" s="46"/>
      <c r="H63" s="46"/>
      <c r="I63" s="46"/>
      <c r="J63" s="46"/>
      <c r="K63" s="46"/>
      <c r="L63" s="46"/>
      <c r="M63" s="43" t="s">
        <v>3</v>
      </c>
      <c r="N63" s="52"/>
      <c r="O63" s="46" t="str">
        <f t="shared" si="7"/>
        <v>202099756.</v>
      </c>
      <c r="P63" s="46"/>
      <c r="Q63" s="46"/>
      <c r="R63" s="46"/>
      <c r="S63" s="46"/>
      <c r="T63" s="46"/>
      <c r="U63" s="46"/>
    </row>
    <row r="64" spans="1:21" s="5" customFormat="1" ht="15" customHeight="1" x14ac:dyDescent="0.2">
      <c r="A64" s="43" t="s">
        <v>23</v>
      </c>
      <c r="B64" s="43"/>
      <c r="C64" s="46" t="str">
        <f t="shared" si="6"/>
        <v>326070033725.</v>
      </c>
      <c r="D64" s="46"/>
      <c r="E64" s="46"/>
      <c r="F64" s="46"/>
      <c r="G64" s="46"/>
      <c r="H64" s="46"/>
      <c r="I64" s="46"/>
      <c r="J64" s="46"/>
      <c r="K64" s="46"/>
      <c r="L64" s="46"/>
      <c r="M64" s="43" t="s">
        <v>23</v>
      </c>
      <c r="N64" s="43"/>
      <c r="O64" s="46" t="str">
        <f t="shared" si="7"/>
        <v>326060002860.</v>
      </c>
      <c r="P64" s="46"/>
      <c r="Q64" s="46"/>
      <c r="R64" s="46"/>
      <c r="S64" s="46"/>
      <c r="T64" s="46"/>
      <c r="U64" s="46"/>
    </row>
    <row r="65" spans="1:22" s="5" customFormat="1" ht="15" customHeight="1" x14ac:dyDescent="0.2">
      <c r="A65" s="43" t="s">
        <v>4</v>
      </c>
      <c r="B65" s="43"/>
      <c r="C65" s="46" t="str">
        <f t="shared" si="6"/>
        <v>20208000900811474001.</v>
      </c>
      <c r="D65" s="46"/>
      <c r="E65" s="46"/>
      <c r="F65" s="46"/>
      <c r="G65" s="46"/>
      <c r="H65" s="46"/>
      <c r="I65" s="46"/>
      <c r="J65" s="46"/>
      <c r="K65" s="46"/>
      <c r="L65" s="46"/>
      <c r="M65" s="43" t="s">
        <v>4</v>
      </c>
      <c r="N65" s="43"/>
      <c r="O65" s="46" t="str">
        <f t="shared" si="7"/>
        <v>20208000600578902001.</v>
      </c>
      <c r="P65" s="46"/>
      <c r="Q65" s="46"/>
      <c r="R65" s="46"/>
      <c r="S65" s="46"/>
      <c r="T65" s="46"/>
      <c r="U65" s="46"/>
    </row>
    <row r="66" spans="1:22" s="5" customFormat="1" ht="15" customHeight="1" x14ac:dyDescent="0.2">
      <c r="A66" s="43" t="s">
        <v>5</v>
      </c>
      <c r="B66" s="43"/>
      <c r="C66" s="46" t="str">
        <f t="shared" si="6"/>
        <v>01042,ТОШКЕНТ Ш., "КАПИТАЛБАНК" АТ БАНКИНИНГ СИРГАЛИ ФИЛ</v>
      </c>
      <c r="D66" s="46"/>
      <c r="E66" s="46"/>
      <c r="F66" s="46"/>
      <c r="G66" s="46"/>
      <c r="H66" s="46"/>
      <c r="I66" s="46"/>
      <c r="J66" s="46"/>
      <c r="K66" s="46"/>
      <c r="L66" s="46"/>
      <c r="M66" s="43" t="s">
        <v>5</v>
      </c>
      <c r="N66" s="43"/>
      <c r="O66" s="46" t="str">
        <f t="shared" si="7"/>
        <v>00450, ТОШКЕНТ Ш., "ТИФ МИЛЛИЙ БАНКИ" АЖ БОШ ОФИСИ</v>
      </c>
      <c r="P66" s="46"/>
      <c r="Q66" s="46"/>
      <c r="R66" s="46"/>
      <c r="S66" s="46"/>
      <c r="T66" s="46"/>
      <c r="U66" s="46"/>
    </row>
    <row r="67" spans="1:22" s="26" customFormat="1" x14ac:dyDescent="0.2">
      <c r="A67" s="22"/>
      <c r="B67" s="22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4"/>
      <c r="N67" s="24"/>
      <c r="O67" s="23"/>
      <c r="P67" s="23"/>
      <c r="Q67" s="25"/>
      <c r="R67" s="25" t="s">
        <v>21</v>
      </c>
      <c r="S67" s="23"/>
      <c r="T67" s="23"/>
      <c r="U67" s="23"/>
    </row>
    <row r="68" spans="1:22" s="7" customFormat="1" ht="20.25" customHeight="1" x14ac:dyDescent="0.3">
      <c r="A68" s="59" t="s">
        <v>6</v>
      </c>
      <c r="B68" s="61" t="s">
        <v>20</v>
      </c>
      <c r="C68" s="62"/>
      <c r="D68" s="62"/>
      <c r="E68" s="62"/>
      <c r="F68" s="62"/>
      <c r="G68" s="62"/>
      <c r="H68" s="63"/>
      <c r="I68" s="59" t="s">
        <v>7</v>
      </c>
      <c r="J68" s="51" t="s">
        <v>8</v>
      </c>
      <c r="K68" s="51"/>
      <c r="L68" s="51"/>
      <c r="M68" s="51" t="s">
        <v>9</v>
      </c>
      <c r="N68" s="51" t="s">
        <v>10</v>
      </c>
      <c r="O68" s="51"/>
      <c r="P68" s="51"/>
      <c r="Q68" s="51" t="s">
        <v>11</v>
      </c>
      <c r="R68" s="51"/>
      <c r="S68" s="51" t="s">
        <v>12</v>
      </c>
      <c r="T68" s="51"/>
      <c r="U68" s="51"/>
    </row>
    <row r="69" spans="1:22" s="7" customFormat="1" ht="20.25" customHeight="1" x14ac:dyDescent="0.3">
      <c r="A69" s="60"/>
      <c r="B69" s="64"/>
      <c r="C69" s="65"/>
      <c r="D69" s="65"/>
      <c r="E69" s="65"/>
      <c r="F69" s="65"/>
      <c r="G69" s="65"/>
      <c r="H69" s="66"/>
      <c r="I69" s="60"/>
      <c r="J69" s="51"/>
      <c r="K69" s="51"/>
      <c r="L69" s="51"/>
      <c r="M69" s="51"/>
      <c r="N69" s="51"/>
      <c r="O69" s="51"/>
      <c r="P69" s="51"/>
      <c r="Q69" s="8" t="s">
        <v>13</v>
      </c>
      <c r="R69" s="6" t="s">
        <v>14</v>
      </c>
      <c r="S69" s="51"/>
      <c r="T69" s="51"/>
      <c r="U69" s="51"/>
    </row>
    <row r="70" spans="1:22" s="7" customFormat="1" ht="24" customHeight="1" x14ac:dyDescent="0.3">
      <c r="A70" s="9">
        <v>1</v>
      </c>
      <c r="B70" s="39" t="str">
        <f t="shared" ref="B70:B87" si="8">B12</f>
        <v>Бумажное Полотенце 365 kun 2сл 2рул</v>
      </c>
      <c r="C70" s="39"/>
      <c r="D70" s="39"/>
      <c r="E70" s="39"/>
      <c r="F70" s="39"/>
      <c r="G70" s="39"/>
      <c r="H70" s="39"/>
      <c r="I70" s="6" t="s">
        <v>15</v>
      </c>
      <c r="J70" s="40">
        <f>J12</f>
        <v>0</v>
      </c>
      <c r="K70" s="40"/>
      <c r="L70" s="40"/>
      <c r="M70" s="11">
        <f t="shared" ref="M70:M88" si="9">M12</f>
        <v>7200</v>
      </c>
      <c r="N70" s="41">
        <f>M70*J70</f>
        <v>0</v>
      </c>
      <c r="O70" s="41"/>
      <c r="P70" s="41"/>
      <c r="Q70" s="12">
        <v>12</v>
      </c>
      <c r="R70" s="10">
        <f t="shared" ref="R70:R87" si="10">N70*12/100</f>
        <v>0</v>
      </c>
      <c r="S70" s="41">
        <f>N70+R70</f>
        <v>0</v>
      </c>
      <c r="T70" s="41"/>
      <c r="U70" s="41"/>
    </row>
    <row r="71" spans="1:22" s="7" customFormat="1" ht="24" customHeight="1" x14ac:dyDescent="0.3">
      <c r="A71" s="9">
        <v>2</v>
      </c>
      <c r="B71" s="39" t="str">
        <f t="shared" si="8"/>
        <v>САЛФЕТКА СТОЛ. 24*24 365 kun 100ШТ</v>
      </c>
      <c r="C71" s="39"/>
      <c r="D71" s="39"/>
      <c r="E71" s="39"/>
      <c r="F71" s="39"/>
      <c r="G71" s="39"/>
      <c r="H71" s="39"/>
      <c r="I71" s="6" t="s">
        <v>15</v>
      </c>
      <c r="J71" s="40">
        <f>J13</f>
        <v>0</v>
      </c>
      <c r="K71" s="40"/>
      <c r="L71" s="40"/>
      <c r="M71" s="11">
        <f t="shared" si="9"/>
        <v>2975.9</v>
      </c>
      <c r="N71" s="41">
        <f t="shared" ref="N71:N87" si="11">M71*J71</f>
        <v>0</v>
      </c>
      <c r="O71" s="41"/>
      <c r="P71" s="41"/>
      <c r="Q71" s="12">
        <v>12</v>
      </c>
      <c r="R71" s="10">
        <f t="shared" si="10"/>
        <v>0</v>
      </c>
      <c r="S71" s="41">
        <f t="shared" ref="S71:S87" si="12">N71+R71</f>
        <v>0</v>
      </c>
      <c r="T71" s="41"/>
      <c r="U71" s="41"/>
    </row>
    <row r="72" spans="1:22" s="7" customFormat="1" ht="24" customHeight="1" x14ac:dyDescent="0.3">
      <c r="A72" s="9">
        <v>3</v>
      </c>
      <c r="B72" s="39" t="str">
        <f t="shared" si="8"/>
        <v>Туалетная бумага 365 kun 2-слой шт</v>
      </c>
      <c r="C72" s="39"/>
      <c r="D72" s="39"/>
      <c r="E72" s="39"/>
      <c r="F72" s="39"/>
      <c r="G72" s="39"/>
      <c r="H72" s="39"/>
      <c r="I72" s="6" t="s">
        <v>15</v>
      </c>
      <c r="J72" s="40">
        <f t="shared" ref="J72:J88" si="13">J14</f>
        <v>0</v>
      </c>
      <c r="K72" s="40"/>
      <c r="L72" s="40"/>
      <c r="M72" s="11">
        <f t="shared" si="9"/>
        <v>1815.6</v>
      </c>
      <c r="N72" s="41">
        <f t="shared" si="11"/>
        <v>0</v>
      </c>
      <c r="O72" s="41"/>
      <c r="P72" s="41"/>
      <c r="Q72" s="12">
        <v>12</v>
      </c>
      <c r="R72" s="10">
        <f t="shared" si="10"/>
        <v>0</v>
      </c>
      <c r="S72" s="41">
        <f t="shared" si="12"/>
        <v>0</v>
      </c>
      <c r="T72" s="41"/>
      <c r="U72" s="41"/>
    </row>
    <row r="73" spans="1:22" s="7" customFormat="1" ht="24" customHeight="1" x14ac:dyDescent="0.3">
      <c r="A73" s="9">
        <v>4</v>
      </c>
      <c r="B73" s="39" t="str">
        <f t="shared" si="8"/>
        <v>БУМАЖ. ПОЛОТЕНЦЕ 365kun BIG SIZE 2СЛ</v>
      </c>
      <c r="C73" s="39"/>
      <c r="D73" s="39"/>
      <c r="E73" s="39"/>
      <c r="F73" s="39"/>
      <c r="G73" s="39"/>
      <c r="H73" s="39"/>
      <c r="I73" s="6" t="s">
        <v>15</v>
      </c>
      <c r="J73" s="40">
        <f t="shared" si="13"/>
        <v>0</v>
      </c>
      <c r="K73" s="40"/>
      <c r="L73" s="40"/>
      <c r="M73" s="11">
        <f t="shared" si="9"/>
        <v>10430</v>
      </c>
      <c r="N73" s="41">
        <f t="shared" si="11"/>
        <v>0</v>
      </c>
      <c r="O73" s="41"/>
      <c r="P73" s="41"/>
      <c r="Q73" s="12">
        <v>12</v>
      </c>
      <c r="R73" s="10">
        <f t="shared" si="10"/>
        <v>0</v>
      </c>
      <c r="S73" s="41">
        <f t="shared" si="12"/>
        <v>0</v>
      </c>
      <c r="T73" s="41"/>
      <c r="U73" s="41"/>
      <c r="V73" s="13"/>
    </row>
    <row r="74" spans="1:22" s="7" customFormat="1" ht="24" customHeight="1" x14ac:dyDescent="0.3">
      <c r="A74" s="9">
        <v>5</v>
      </c>
      <c r="B74" s="39" t="str">
        <f t="shared" si="8"/>
        <v>Салфетки 365 kun для авто короб.70шт</v>
      </c>
      <c r="C74" s="39"/>
      <c r="D74" s="39"/>
      <c r="E74" s="39"/>
      <c r="F74" s="39"/>
      <c r="G74" s="39"/>
      <c r="H74" s="39"/>
      <c r="I74" s="6" t="s">
        <v>15</v>
      </c>
      <c r="J74" s="40">
        <f t="shared" si="13"/>
        <v>0</v>
      </c>
      <c r="K74" s="40"/>
      <c r="L74" s="40"/>
      <c r="M74" s="11">
        <f t="shared" si="9"/>
        <v>4062.5</v>
      </c>
      <c r="N74" s="41">
        <f t="shared" si="11"/>
        <v>0</v>
      </c>
      <c r="O74" s="41"/>
      <c r="P74" s="41"/>
      <c r="Q74" s="12">
        <v>12</v>
      </c>
      <c r="R74" s="10">
        <f t="shared" si="10"/>
        <v>0</v>
      </c>
      <c r="S74" s="41">
        <f t="shared" si="12"/>
        <v>0</v>
      </c>
      <c r="T74" s="41"/>
      <c r="U74" s="41"/>
    </row>
    <row r="75" spans="1:22" s="7" customFormat="1" ht="24" customHeight="1" x14ac:dyDescent="0.3">
      <c r="A75" s="9">
        <v>6</v>
      </c>
      <c r="B75" s="39" t="str">
        <f t="shared" si="8"/>
        <v>САЛФЕТКИ КОРОБОЧНЫЕ 365 kun 100ШТ</v>
      </c>
      <c r="C75" s="39"/>
      <c r="D75" s="39"/>
      <c r="E75" s="39"/>
      <c r="F75" s="39"/>
      <c r="G75" s="39"/>
      <c r="H75" s="39"/>
      <c r="I75" s="6" t="s">
        <v>15</v>
      </c>
      <c r="J75" s="40">
        <f t="shared" si="13"/>
        <v>0</v>
      </c>
      <c r="K75" s="40"/>
      <c r="L75" s="40"/>
      <c r="M75" s="11">
        <f t="shared" si="9"/>
        <v>6205.35</v>
      </c>
      <c r="N75" s="41">
        <f t="shared" si="11"/>
        <v>0</v>
      </c>
      <c r="O75" s="41"/>
      <c r="P75" s="41"/>
      <c r="Q75" s="12">
        <v>12</v>
      </c>
      <c r="R75" s="10">
        <f t="shared" si="10"/>
        <v>0</v>
      </c>
      <c r="S75" s="41">
        <f t="shared" si="12"/>
        <v>0</v>
      </c>
      <c r="T75" s="41"/>
      <c r="U75" s="41"/>
    </row>
    <row r="76" spans="1:22" s="7" customFormat="1" ht="24" customHeight="1" x14ac:dyDescent="0.3">
      <c r="A76" s="9">
        <v>7</v>
      </c>
      <c r="B76" s="39" t="str">
        <f t="shared" si="8"/>
        <v>САЛФЕТКИ КОРОБ 365 KUN 2СЛ 200ШТ</v>
      </c>
      <c r="C76" s="39"/>
      <c r="D76" s="39"/>
      <c r="E76" s="39"/>
      <c r="F76" s="39"/>
      <c r="G76" s="39"/>
      <c r="H76" s="39"/>
      <c r="I76" s="6" t="s">
        <v>15</v>
      </c>
      <c r="J76" s="40">
        <f t="shared" si="13"/>
        <v>0</v>
      </c>
      <c r="K76" s="40"/>
      <c r="L76" s="40"/>
      <c r="M76" s="11">
        <f t="shared" si="9"/>
        <v>8571.42</v>
      </c>
      <c r="N76" s="41">
        <f t="shared" si="11"/>
        <v>0</v>
      </c>
      <c r="O76" s="41"/>
      <c r="P76" s="41"/>
      <c r="Q76" s="12">
        <v>12</v>
      </c>
      <c r="R76" s="10">
        <f t="shared" si="10"/>
        <v>0</v>
      </c>
      <c r="S76" s="41">
        <f t="shared" si="12"/>
        <v>0</v>
      </c>
      <c r="T76" s="41"/>
      <c r="U76" s="41"/>
    </row>
    <row r="77" spans="1:22" s="7" customFormat="1" ht="24" customHeight="1" x14ac:dyDescent="0.3">
      <c r="A77" s="9">
        <v>8</v>
      </c>
      <c r="B77" s="39" t="str">
        <f t="shared" si="8"/>
        <v>ТУАЛЕТНАЯ БУМАГА 365 kun 2СЛ 8ШТ</v>
      </c>
      <c r="C77" s="39"/>
      <c r="D77" s="39"/>
      <c r="E77" s="39"/>
      <c r="F77" s="39"/>
      <c r="G77" s="39"/>
      <c r="H77" s="39"/>
      <c r="I77" s="6" t="s">
        <v>15</v>
      </c>
      <c r="J77" s="40">
        <f t="shared" si="13"/>
        <v>0</v>
      </c>
      <c r="K77" s="40"/>
      <c r="L77" s="40"/>
      <c r="M77" s="11">
        <f t="shared" si="9"/>
        <v>16950</v>
      </c>
      <c r="N77" s="41">
        <f t="shared" si="11"/>
        <v>0</v>
      </c>
      <c r="O77" s="41"/>
      <c r="P77" s="41"/>
      <c r="Q77" s="12">
        <v>12</v>
      </c>
      <c r="R77" s="10">
        <f t="shared" si="10"/>
        <v>0</v>
      </c>
      <c r="S77" s="41">
        <f t="shared" si="12"/>
        <v>0</v>
      </c>
      <c r="T77" s="41"/>
      <c r="U77" s="41"/>
    </row>
    <row r="78" spans="1:22" s="7" customFormat="1" ht="24" customHeight="1" x14ac:dyDescent="0.3">
      <c r="A78" s="9">
        <v>9</v>
      </c>
      <c r="B78" s="39" t="str">
        <f t="shared" si="8"/>
        <v>ТУАЛЕТНАЯ БУМАГА 365 kun 2СЛ 4ШТ</v>
      </c>
      <c r="C78" s="39"/>
      <c r="D78" s="39"/>
      <c r="E78" s="39"/>
      <c r="F78" s="39"/>
      <c r="G78" s="39"/>
      <c r="H78" s="39"/>
      <c r="I78" s="6" t="s">
        <v>15</v>
      </c>
      <c r="J78" s="40">
        <f t="shared" si="13"/>
        <v>0</v>
      </c>
      <c r="K78" s="40"/>
      <c r="L78" s="40"/>
      <c r="M78" s="11">
        <f t="shared" si="9"/>
        <v>10000</v>
      </c>
      <c r="N78" s="41">
        <f t="shared" si="11"/>
        <v>0</v>
      </c>
      <c r="O78" s="41"/>
      <c r="P78" s="41"/>
      <c r="Q78" s="12">
        <v>12</v>
      </c>
      <c r="R78" s="10">
        <f t="shared" si="10"/>
        <v>0</v>
      </c>
      <c r="S78" s="41">
        <f t="shared" si="12"/>
        <v>0</v>
      </c>
      <c r="T78" s="41"/>
      <c r="U78" s="41"/>
    </row>
    <row r="79" spans="1:22" s="7" customFormat="1" ht="24" customHeight="1" x14ac:dyDescent="0.3">
      <c r="A79" s="9">
        <v>10</v>
      </c>
      <c r="B79" s="39" t="str">
        <f t="shared" si="8"/>
        <v>ТУАЛЕТНАЯ БУМАГА 365 kun 2СЛ 6ШТ</v>
      </c>
      <c r="C79" s="39"/>
      <c r="D79" s="39"/>
      <c r="E79" s="39"/>
      <c r="F79" s="39"/>
      <c r="G79" s="39"/>
      <c r="H79" s="39"/>
      <c r="I79" s="6" t="s">
        <v>15</v>
      </c>
      <c r="J79" s="40">
        <f t="shared" si="13"/>
        <v>0</v>
      </c>
      <c r="K79" s="40"/>
      <c r="L79" s="40"/>
      <c r="M79" s="11">
        <f t="shared" si="9"/>
        <v>12053.57</v>
      </c>
      <c r="N79" s="41">
        <f t="shared" si="11"/>
        <v>0</v>
      </c>
      <c r="O79" s="41"/>
      <c r="P79" s="41"/>
      <c r="Q79" s="12">
        <v>12</v>
      </c>
      <c r="R79" s="10">
        <f t="shared" si="10"/>
        <v>0</v>
      </c>
      <c r="S79" s="41">
        <f t="shared" si="12"/>
        <v>0</v>
      </c>
      <c r="T79" s="41"/>
      <c r="U79" s="41"/>
    </row>
    <row r="80" spans="1:22" s="7" customFormat="1" ht="24" customHeight="1" x14ac:dyDescent="0.3">
      <c r="A80" s="9">
        <v>11</v>
      </c>
      <c r="B80" s="39" t="str">
        <f t="shared" si="8"/>
        <v>САЛФЕТКИ 365 kun 27Х27 100ШТ</v>
      </c>
      <c r="C80" s="39"/>
      <c r="D80" s="39"/>
      <c r="E80" s="39"/>
      <c r="F80" s="39"/>
      <c r="G80" s="39"/>
      <c r="H80" s="39"/>
      <c r="I80" s="6" t="s">
        <v>15</v>
      </c>
      <c r="J80" s="40">
        <f t="shared" si="13"/>
        <v>0</v>
      </c>
      <c r="K80" s="40"/>
      <c r="L80" s="40"/>
      <c r="M80" s="11">
        <f t="shared" si="9"/>
        <v>3426.07</v>
      </c>
      <c r="N80" s="41">
        <f t="shared" si="11"/>
        <v>0</v>
      </c>
      <c r="O80" s="41"/>
      <c r="P80" s="41"/>
      <c r="Q80" s="12">
        <v>12</v>
      </c>
      <c r="R80" s="10">
        <f t="shared" si="10"/>
        <v>0</v>
      </c>
      <c r="S80" s="41">
        <f t="shared" si="12"/>
        <v>0</v>
      </c>
      <c r="T80" s="41"/>
      <c r="U80" s="41"/>
    </row>
    <row r="81" spans="1:21" s="7" customFormat="1" ht="24" customHeight="1" x14ac:dyDescent="0.3">
      <c r="A81" s="9">
        <v>12</v>
      </c>
      <c r="B81" s="39" t="str">
        <f t="shared" si="8"/>
        <v>Салфетки 365 kun 24*22 50шт</v>
      </c>
      <c r="C81" s="39"/>
      <c r="D81" s="39"/>
      <c r="E81" s="39"/>
      <c r="F81" s="39"/>
      <c r="G81" s="39"/>
      <c r="H81" s="39"/>
      <c r="I81" s="6" t="s">
        <v>15</v>
      </c>
      <c r="J81" s="40">
        <f t="shared" si="13"/>
        <v>0</v>
      </c>
      <c r="K81" s="40"/>
      <c r="L81" s="40"/>
      <c r="M81" s="11">
        <f t="shared" si="9"/>
        <v>1245.54</v>
      </c>
      <c r="N81" s="41">
        <f t="shared" si="11"/>
        <v>0</v>
      </c>
      <c r="O81" s="41"/>
      <c r="P81" s="41"/>
      <c r="Q81" s="12">
        <v>12</v>
      </c>
      <c r="R81" s="10">
        <f t="shared" si="10"/>
        <v>0</v>
      </c>
      <c r="S81" s="41">
        <f t="shared" si="12"/>
        <v>0</v>
      </c>
      <c r="T81" s="41"/>
      <c r="U81" s="41"/>
    </row>
    <row r="82" spans="1:21" s="7" customFormat="1" ht="24" customHeight="1" x14ac:dyDescent="0.3">
      <c r="A82" s="9">
        <v>13</v>
      </c>
      <c r="B82" s="39" t="str">
        <f t="shared" si="8"/>
        <v>Салфетки 365 kun 27*27 50шт</v>
      </c>
      <c r="C82" s="39"/>
      <c r="D82" s="39"/>
      <c r="E82" s="39"/>
      <c r="F82" s="39"/>
      <c r="G82" s="39"/>
      <c r="H82" s="39"/>
      <c r="I82" s="6" t="s">
        <v>15</v>
      </c>
      <c r="J82" s="40">
        <f t="shared" si="13"/>
        <v>0</v>
      </c>
      <c r="K82" s="40"/>
      <c r="L82" s="40"/>
      <c r="M82" s="11">
        <f t="shared" si="9"/>
        <v>1892.86</v>
      </c>
      <c r="N82" s="41">
        <f t="shared" si="11"/>
        <v>0</v>
      </c>
      <c r="O82" s="41"/>
      <c r="P82" s="41"/>
      <c r="Q82" s="12">
        <v>12</v>
      </c>
      <c r="R82" s="10">
        <f t="shared" si="10"/>
        <v>0</v>
      </c>
      <c r="S82" s="41">
        <f t="shared" si="12"/>
        <v>0</v>
      </c>
      <c r="T82" s="41"/>
      <c r="U82" s="41"/>
    </row>
    <row r="83" spans="1:21" s="1" customFormat="1" ht="24" customHeight="1" x14ac:dyDescent="0.3">
      <c r="A83" s="9">
        <v>14</v>
      </c>
      <c r="B83" s="39" t="str">
        <f t="shared" si="8"/>
        <v>Туалетная бумага Iz Korzinki 8шт</v>
      </c>
      <c r="C83" s="39"/>
      <c r="D83" s="39"/>
      <c r="E83" s="39"/>
      <c r="F83" s="39"/>
      <c r="G83" s="39"/>
      <c r="H83" s="39"/>
      <c r="I83" s="6" t="s">
        <v>15</v>
      </c>
      <c r="J83" s="40">
        <f t="shared" si="13"/>
        <v>0</v>
      </c>
      <c r="K83" s="40"/>
      <c r="L83" s="40"/>
      <c r="M83" s="11">
        <f t="shared" si="9"/>
        <v>20535.71</v>
      </c>
      <c r="N83" s="41">
        <f t="shared" si="11"/>
        <v>0</v>
      </c>
      <c r="O83" s="41"/>
      <c r="P83" s="41"/>
      <c r="Q83" s="12">
        <v>12</v>
      </c>
      <c r="R83" s="10">
        <f t="shared" si="10"/>
        <v>0</v>
      </c>
      <c r="S83" s="41">
        <f t="shared" si="12"/>
        <v>0</v>
      </c>
      <c r="T83" s="41"/>
      <c r="U83" s="41"/>
    </row>
    <row r="84" spans="1:21" s="1" customFormat="1" ht="24" customHeight="1" x14ac:dyDescent="0.3">
      <c r="A84" s="9">
        <v>15</v>
      </c>
      <c r="B84" s="39" t="str">
        <f t="shared" si="8"/>
        <v>Туалетная бумага Iz Korzinki Aroma 8шт</v>
      </c>
      <c r="C84" s="39"/>
      <c r="D84" s="39"/>
      <c r="E84" s="39"/>
      <c r="F84" s="39"/>
      <c r="G84" s="39"/>
      <c r="H84" s="39"/>
      <c r="I84" s="6" t="s">
        <v>15</v>
      </c>
      <c r="J84" s="40">
        <f t="shared" si="13"/>
        <v>0</v>
      </c>
      <c r="K84" s="40"/>
      <c r="L84" s="40"/>
      <c r="M84" s="11">
        <f t="shared" si="9"/>
        <v>22321.4</v>
      </c>
      <c r="N84" s="41">
        <f t="shared" si="11"/>
        <v>0</v>
      </c>
      <c r="O84" s="41"/>
      <c r="P84" s="41"/>
      <c r="Q84" s="12">
        <v>12</v>
      </c>
      <c r="R84" s="10">
        <f t="shared" si="10"/>
        <v>0</v>
      </c>
      <c r="S84" s="41">
        <f t="shared" si="12"/>
        <v>0</v>
      </c>
      <c r="T84" s="41"/>
      <c r="U84" s="41"/>
    </row>
    <row r="85" spans="1:21" s="1" customFormat="1" ht="24" customHeight="1" x14ac:dyDescent="0.3">
      <c r="A85" s="9">
        <v>16</v>
      </c>
      <c r="B85" s="39" t="str">
        <f t="shared" si="8"/>
        <v>Туалет.бумага Из Корзинки трехслой.8шт</v>
      </c>
      <c r="C85" s="39"/>
      <c r="D85" s="39"/>
      <c r="E85" s="39"/>
      <c r="F85" s="39"/>
      <c r="G85" s="39"/>
      <c r="H85" s="39"/>
      <c r="I85" s="6" t="s">
        <v>15</v>
      </c>
      <c r="J85" s="40">
        <f t="shared" si="13"/>
        <v>0</v>
      </c>
      <c r="K85" s="40"/>
      <c r="L85" s="40"/>
      <c r="M85" s="11">
        <f t="shared" si="9"/>
        <v>22321.43</v>
      </c>
      <c r="N85" s="41">
        <f t="shared" si="11"/>
        <v>0</v>
      </c>
      <c r="O85" s="41"/>
      <c r="P85" s="41"/>
      <c r="Q85" s="12">
        <v>12</v>
      </c>
      <c r="R85" s="10">
        <f t="shared" si="10"/>
        <v>0</v>
      </c>
      <c r="S85" s="41">
        <f t="shared" si="12"/>
        <v>0</v>
      </c>
      <c r="T85" s="41"/>
      <c r="U85" s="41"/>
    </row>
    <row r="86" spans="1:21" s="1" customFormat="1" ht="24" customHeight="1" x14ac:dyDescent="0.3">
      <c r="A86" s="9">
        <v>17</v>
      </c>
      <c r="B86" s="39" t="str">
        <f t="shared" si="8"/>
        <v>Туалетная бумага Iz Korzinki 6шт</v>
      </c>
      <c r="C86" s="39"/>
      <c r="D86" s="39"/>
      <c r="E86" s="39"/>
      <c r="F86" s="39"/>
      <c r="G86" s="39"/>
      <c r="H86" s="39"/>
      <c r="I86" s="6" t="s">
        <v>15</v>
      </c>
      <c r="J86" s="40">
        <f t="shared" si="13"/>
        <v>0</v>
      </c>
      <c r="K86" s="40"/>
      <c r="L86" s="40"/>
      <c r="M86" s="11">
        <f t="shared" si="9"/>
        <v>14285.7</v>
      </c>
      <c r="N86" s="41">
        <f t="shared" si="11"/>
        <v>0</v>
      </c>
      <c r="O86" s="41"/>
      <c r="P86" s="41"/>
      <c r="Q86" s="12">
        <v>12</v>
      </c>
      <c r="R86" s="10">
        <f t="shared" si="10"/>
        <v>0</v>
      </c>
      <c r="S86" s="41">
        <f t="shared" si="12"/>
        <v>0</v>
      </c>
      <c r="T86" s="41"/>
      <c r="U86" s="41"/>
    </row>
    <row r="87" spans="1:21" s="1" customFormat="1" ht="24" customHeight="1" x14ac:dyDescent="0.3">
      <c r="A87" s="9">
        <v>18</v>
      </c>
      <c r="B87" s="39" t="str">
        <f t="shared" si="8"/>
        <v>Сал.дисп 365 kun целлюлозные 20х20 180шт</v>
      </c>
      <c r="C87" s="39"/>
      <c r="D87" s="39"/>
      <c r="E87" s="39"/>
      <c r="F87" s="39"/>
      <c r="G87" s="39"/>
      <c r="H87" s="39"/>
      <c r="I87" s="6" t="s">
        <v>15</v>
      </c>
      <c r="J87" s="40">
        <f t="shared" si="13"/>
        <v>0</v>
      </c>
      <c r="K87" s="40"/>
      <c r="L87" s="40"/>
      <c r="M87" s="11">
        <f t="shared" si="9"/>
        <v>7544.64</v>
      </c>
      <c r="N87" s="41">
        <f t="shared" si="11"/>
        <v>0</v>
      </c>
      <c r="O87" s="41"/>
      <c r="P87" s="41"/>
      <c r="Q87" s="12">
        <v>12</v>
      </c>
      <c r="R87" s="10">
        <f t="shared" si="10"/>
        <v>0</v>
      </c>
      <c r="S87" s="41">
        <f t="shared" si="12"/>
        <v>0</v>
      </c>
      <c r="T87" s="41"/>
      <c r="U87" s="41"/>
    </row>
    <row r="88" spans="1:21" s="1" customFormat="1" ht="24" customHeight="1" x14ac:dyDescent="0.3">
      <c r="A88" s="9">
        <v>19</v>
      </c>
      <c r="B88" s="39"/>
      <c r="C88" s="39"/>
      <c r="D88" s="39"/>
      <c r="E88" s="39"/>
      <c r="F88" s="39"/>
      <c r="G88" s="39"/>
      <c r="H88" s="39"/>
      <c r="I88" s="33" t="s">
        <v>15</v>
      </c>
      <c r="J88" s="40">
        <f t="shared" si="13"/>
        <v>0</v>
      </c>
      <c r="K88" s="40"/>
      <c r="L88" s="40"/>
      <c r="M88" s="11">
        <f t="shared" si="9"/>
        <v>0</v>
      </c>
      <c r="N88" s="41">
        <f t="shared" ref="N88" si="14">M88*J88</f>
        <v>0</v>
      </c>
      <c r="O88" s="41"/>
      <c r="P88" s="41"/>
      <c r="Q88" s="12">
        <v>12</v>
      </c>
      <c r="R88" s="34">
        <f t="shared" ref="R88" si="15">N88*12/100</f>
        <v>0</v>
      </c>
      <c r="S88" s="41">
        <f t="shared" ref="S88" si="16">N88+R88</f>
        <v>0</v>
      </c>
      <c r="T88" s="41"/>
      <c r="U88" s="41"/>
    </row>
    <row r="89" spans="1:21" s="1" customFormat="1" ht="24" customHeight="1" x14ac:dyDescent="0.3">
      <c r="A89" s="58" t="s">
        <v>16</v>
      </c>
      <c r="B89" s="58"/>
      <c r="C89" s="58"/>
      <c r="D89" s="58"/>
      <c r="E89" s="58"/>
      <c r="F89" s="58"/>
      <c r="G89" s="58"/>
      <c r="H89" s="58"/>
      <c r="I89" s="14"/>
      <c r="J89" s="45"/>
      <c r="K89" s="45"/>
      <c r="L89" s="45"/>
      <c r="M89" s="10"/>
      <c r="N89" s="41">
        <f>SUM(N70:P87)</f>
        <v>0</v>
      </c>
      <c r="O89" s="41"/>
      <c r="P89" s="41"/>
      <c r="Q89" s="15"/>
      <c r="R89" s="10">
        <f>SUM(R70:R87)</f>
        <v>0</v>
      </c>
      <c r="S89" s="41">
        <f>SUM(S70:U87)</f>
        <v>0</v>
      </c>
      <c r="T89" s="41"/>
      <c r="U89" s="41"/>
    </row>
    <row r="90" spans="1:21" s="26" customFormat="1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spans="1:21" s="26" customFormat="1" x14ac:dyDescent="0.2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</row>
    <row r="92" spans="1:21" s="29" customFormat="1" x14ac:dyDescent="0.2"/>
    <row r="93" spans="1:21" s="32" customFormat="1" ht="15.75" x14ac:dyDescent="0.2">
      <c r="A93" s="30" t="s">
        <v>18</v>
      </c>
      <c r="B93" s="30"/>
      <c r="C93" s="30"/>
      <c r="D93" s="31"/>
      <c r="E93" s="31"/>
      <c r="F93" s="31"/>
      <c r="G93" s="31"/>
      <c r="H93" s="30"/>
      <c r="I93" s="30"/>
      <c r="J93" s="30"/>
      <c r="K93" s="30"/>
      <c r="L93" s="30"/>
      <c r="M93" s="30"/>
      <c r="N93" s="30"/>
      <c r="O93" s="30"/>
      <c r="P93" s="30" t="s">
        <v>17</v>
      </c>
      <c r="Q93" s="30"/>
      <c r="R93" s="31"/>
      <c r="S93" s="31"/>
      <c r="T93" s="31"/>
      <c r="U93" s="31"/>
    </row>
    <row r="94" spans="1:21" s="28" customFormat="1" x14ac:dyDescent="0.2"/>
    <row r="95" spans="1:21" s="32" customFormat="1" ht="15.75" x14ac:dyDescent="0.2">
      <c r="B95" s="30" t="s">
        <v>19</v>
      </c>
    </row>
    <row r="96" spans="1:21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  <row r="114" s="28" customFormat="1" x14ac:dyDescent="0.2"/>
    <row r="115" s="28" customFormat="1" x14ac:dyDescent="0.2"/>
  </sheetData>
  <mergeCells count="234">
    <mergeCell ref="B88:H88"/>
    <mergeCell ref="J88:L88"/>
    <mergeCell ref="N88:P88"/>
    <mergeCell ref="S88:U88"/>
    <mergeCell ref="A68:A69"/>
    <mergeCell ref="B68:H69"/>
    <mergeCell ref="I68:I69"/>
    <mergeCell ref="J68:L69"/>
    <mergeCell ref="M68:M69"/>
    <mergeCell ref="B71:H71"/>
    <mergeCell ref="B70:H70"/>
    <mergeCell ref="N68:P69"/>
    <mergeCell ref="B73:H73"/>
    <mergeCell ref="S85:U85"/>
    <mergeCell ref="B80:H80"/>
    <mergeCell ref="B81:H81"/>
    <mergeCell ref="S80:U80"/>
    <mergeCell ref="J80:L80"/>
    <mergeCell ref="N80:P80"/>
    <mergeCell ref="B79:H79"/>
    <mergeCell ref="B82:H82"/>
    <mergeCell ref="J82:L82"/>
    <mergeCell ref="N82:P82"/>
    <mergeCell ref="S82:U82"/>
    <mergeCell ref="A91:U91"/>
    <mergeCell ref="B83:H83"/>
    <mergeCell ref="J83:L83"/>
    <mergeCell ref="N83:P83"/>
    <mergeCell ref="S83:U83"/>
    <mergeCell ref="B84:H84"/>
    <mergeCell ref="J84:L84"/>
    <mergeCell ref="N84:P84"/>
    <mergeCell ref="S84:U84"/>
    <mergeCell ref="A89:H89"/>
    <mergeCell ref="J89:L89"/>
    <mergeCell ref="N89:P89"/>
    <mergeCell ref="S89:U89"/>
    <mergeCell ref="B85:H85"/>
    <mergeCell ref="J85:L85"/>
    <mergeCell ref="B87:H87"/>
    <mergeCell ref="B86:H86"/>
    <mergeCell ref="J86:L86"/>
    <mergeCell ref="J87:L87"/>
    <mergeCell ref="N87:P87"/>
    <mergeCell ref="S87:U87"/>
    <mergeCell ref="N86:P86"/>
    <mergeCell ref="S86:U86"/>
    <mergeCell ref="N85:P85"/>
    <mergeCell ref="J81:L81"/>
    <mergeCell ref="N81:P81"/>
    <mergeCell ref="S81:U81"/>
    <mergeCell ref="N78:P78"/>
    <mergeCell ref="N79:P79"/>
    <mergeCell ref="N72:P72"/>
    <mergeCell ref="S72:U72"/>
    <mergeCell ref="B76:H76"/>
    <mergeCell ref="J76:L76"/>
    <mergeCell ref="N76:P76"/>
    <mergeCell ref="S78:U78"/>
    <mergeCell ref="B77:H77"/>
    <mergeCell ref="N77:P77"/>
    <mergeCell ref="J79:L79"/>
    <mergeCell ref="B72:H72"/>
    <mergeCell ref="S79:U79"/>
    <mergeCell ref="S76:U76"/>
    <mergeCell ref="N73:P73"/>
    <mergeCell ref="J72:L72"/>
    <mergeCell ref="M62:N62"/>
    <mergeCell ref="M63:N63"/>
    <mergeCell ref="A62:B62"/>
    <mergeCell ref="C62:L62"/>
    <mergeCell ref="O62:U62"/>
    <mergeCell ref="A63:B63"/>
    <mergeCell ref="A64:B64"/>
    <mergeCell ref="C64:L64"/>
    <mergeCell ref="M64:N64"/>
    <mergeCell ref="O64:U64"/>
    <mergeCell ref="A65:B65"/>
    <mergeCell ref="C65:L65"/>
    <mergeCell ref="M65:N65"/>
    <mergeCell ref="O65:U65"/>
    <mergeCell ref="C63:L63"/>
    <mergeCell ref="O63:U63"/>
    <mergeCell ref="B78:H78"/>
    <mergeCell ref="J73:L73"/>
    <mergeCell ref="J77:L77"/>
    <mergeCell ref="S73:U73"/>
    <mergeCell ref="S77:U77"/>
    <mergeCell ref="J78:L78"/>
    <mergeCell ref="A66:B66"/>
    <mergeCell ref="C66:L66"/>
    <mergeCell ref="N71:P71"/>
    <mergeCell ref="Q68:R68"/>
    <mergeCell ref="S68:U69"/>
    <mergeCell ref="J71:L71"/>
    <mergeCell ref="S70:U70"/>
    <mergeCell ref="J70:L70"/>
    <mergeCell ref="S71:U71"/>
    <mergeCell ref="N70:P70"/>
    <mergeCell ref="M66:N66"/>
    <mergeCell ref="O66:U66"/>
    <mergeCell ref="C61:L61"/>
    <mergeCell ref="M61:N61"/>
    <mergeCell ref="B22:H22"/>
    <mergeCell ref="B23:H23"/>
    <mergeCell ref="B24:H24"/>
    <mergeCell ref="J24:L24"/>
    <mergeCell ref="N24:P24"/>
    <mergeCell ref="N22:P22"/>
    <mergeCell ref="S22:U22"/>
    <mergeCell ref="B29:H29"/>
    <mergeCell ref="J29:L29"/>
    <mergeCell ref="N29:P29"/>
    <mergeCell ref="B25:H25"/>
    <mergeCell ref="J25:L25"/>
    <mergeCell ref="A61:B61"/>
    <mergeCell ref="B28:H28"/>
    <mergeCell ref="J28:L28"/>
    <mergeCell ref="N28:P28"/>
    <mergeCell ref="S28:U28"/>
    <mergeCell ref="S24:U24"/>
    <mergeCell ref="B30:H30"/>
    <mergeCell ref="J30:L30"/>
    <mergeCell ref="N30:P30"/>
    <mergeCell ref="S30:U30"/>
    <mergeCell ref="N21:P21"/>
    <mergeCell ref="S29:U29"/>
    <mergeCell ref="S23:U23"/>
    <mergeCell ref="J31:L31"/>
    <mergeCell ref="N31:P31"/>
    <mergeCell ref="S20:U20"/>
    <mergeCell ref="J22:L22"/>
    <mergeCell ref="B26:H26"/>
    <mergeCell ref="J26:L26"/>
    <mergeCell ref="S25:U25"/>
    <mergeCell ref="B27:H27"/>
    <mergeCell ref="J27:L27"/>
    <mergeCell ref="N27:P27"/>
    <mergeCell ref="S27:U27"/>
    <mergeCell ref="B21:H21"/>
    <mergeCell ref="S26:U26"/>
    <mergeCell ref="H2:U2"/>
    <mergeCell ref="A2:G2"/>
    <mergeCell ref="B12:H12"/>
    <mergeCell ref="Q10:R10"/>
    <mergeCell ref="B17:H17"/>
    <mergeCell ref="N17:P17"/>
    <mergeCell ref="B15:H15"/>
    <mergeCell ref="N14:P14"/>
    <mergeCell ref="S13:U13"/>
    <mergeCell ref="B13:H13"/>
    <mergeCell ref="S12:U12"/>
    <mergeCell ref="N13:P13"/>
    <mergeCell ref="J12:L12"/>
    <mergeCell ref="S14:U14"/>
    <mergeCell ref="J17:L17"/>
    <mergeCell ref="J14:L14"/>
    <mergeCell ref="J15:L15"/>
    <mergeCell ref="N15:P15"/>
    <mergeCell ref="S15:U15"/>
    <mergeCell ref="M10:M11"/>
    <mergeCell ref="N10:P11"/>
    <mergeCell ref="N12:P12"/>
    <mergeCell ref="B14:H14"/>
    <mergeCell ref="B16:H16"/>
    <mergeCell ref="N20:P20"/>
    <mergeCell ref="A10:A11"/>
    <mergeCell ref="S10:U11"/>
    <mergeCell ref="A3:B3"/>
    <mergeCell ref="C3:L3"/>
    <mergeCell ref="M3:N3"/>
    <mergeCell ref="O3:U3"/>
    <mergeCell ref="A4:B4"/>
    <mergeCell ref="C4:L4"/>
    <mergeCell ref="O4:U4"/>
    <mergeCell ref="A5:B5"/>
    <mergeCell ref="C5:L5"/>
    <mergeCell ref="O5:U5"/>
    <mergeCell ref="M5:N5"/>
    <mergeCell ref="M4:N4"/>
    <mergeCell ref="A8:B8"/>
    <mergeCell ref="B10:H11"/>
    <mergeCell ref="I10:I11"/>
    <mergeCell ref="J10:L11"/>
    <mergeCell ref="J16:L16"/>
    <mergeCell ref="N16:P16"/>
    <mergeCell ref="B75:H75"/>
    <mergeCell ref="J75:L75"/>
    <mergeCell ref="N75:P75"/>
    <mergeCell ref="S75:U75"/>
    <mergeCell ref="O6:U6"/>
    <mergeCell ref="A7:B7"/>
    <mergeCell ref="C7:L7"/>
    <mergeCell ref="M7:N7"/>
    <mergeCell ref="O7:U7"/>
    <mergeCell ref="A6:B6"/>
    <mergeCell ref="C6:L6"/>
    <mergeCell ref="M6:N6"/>
    <mergeCell ref="C8:L8"/>
    <mergeCell ref="M8:N8"/>
    <mergeCell ref="O8:U8"/>
    <mergeCell ref="J13:L13"/>
    <mergeCell ref="S16:U16"/>
    <mergeCell ref="O61:U61"/>
    <mergeCell ref="A33:U33"/>
    <mergeCell ref="S31:U31"/>
    <mergeCell ref="S17:U17"/>
    <mergeCell ref="N25:P25"/>
    <mergeCell ref="S19:U19"/>
    <mergeCell ref="B19:H19"/>
    <mergeCell ref="H60:U60"/>
    <mergeCell ref="A60:G60"/>
    <mergeCell ref="A1:G1"/>
    <mergeCell ref="H1:U1"/>
    <mergeCell ref="A59:G59"/>
    <mergeCell ref="H59:U59"/>
    <mergeCell ref="B74:H74"/>
    <mergeCell ref="J74:L74"/>
    <mergeCell ref="N74:P74"/>
    <mergeCell ref="S74:U74"/>
    <mergeCell ref="J19:L19"/>
    <mergeCell ref="N19:P19"/>
    <mergeCell ref="S21:U21"/>
    <mergeCell ref="J21:L21"/>
    <mergeCell ref="A31:H31"/>
    <mergeCell ref="J23:L23"/>
    <mergeCell ref="N23:P23"/>
    <mergeCell ref="N26:P26"/>
    <mergeCell ref="B18:H18"/>
    <mergeCell ref="J18:L18"/>
    <mergeCell ref="N18:P18"/>
    <mergeCell ref="B20:H20"/>
    <mergeCell ref="S18:U18"/>
    <mergeCell ref="J20:L20"/>
  </mergeCells>
  <phoneticPr fontId="0" type="noConversion"/>
  <pageMargins left="0.19685039370078741" right="0.19685039370078741" top="0.39370078740157483" bottom="0.39370078740157483" header="0" footer="0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Muzaffar</cp:lastModifiedBy>
  <cp:revision>1</cp:revision>
  <cp:lastPrinted>2026-03-17T06:41:41Z</cp:lastPrinted>
  <dcterms:created xsi:type="dcterms:W3CDTF">2020-12-14T10:41:58Z</dcterms:created>
  <dcterms:modified xsi:type="dcterms:W3CDTF">2026-06-25T12:33:10Z</dcterms:modified>
</cp:coreProperties>
</file>